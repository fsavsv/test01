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与假设" sheetId="1" state="visible" r:id="rId3"/>
    <sheet name="冒烟回归用例" sheetId="2" state="visible" r:id="rId4"/>
    <sheet name="新增功能用例" sheetId="3" state="visible" r:id="rId5"/>
    <sheet name="缺陷记录" sheetId="4" state="visible" r:id="rId6"/>
  </sheets>
  <definedNames>
    <definedName function="false" hidden="false" localSheetId="1" name="_xlnm.Print_Titles" vbProcedure="false">冒烟回归用例!$1:$1</definedName>
    <definedName function="false" hidden="true" localSheetId="1" name="_xlnm._FilterDatabase" vbProcedure="false">冒烟回归用例!$A$1:$M$20</definedName>
    <definedName function="false" hidden="false" localSheetId="2" name="_xlnm.Print_Titles" vbProcedure="false">新增功能用例!$1:$1</definedName>
    <definedName function="false" hidden="true" localSheetId="2" name="_xlnm._FilterDatabase" vbProcedure="false">新增功能用例!$A$1:$M$51</definedName>
    <definedName function="false" hidden="true" localSheetId="3" name="_xlnm._FilterDatabase" vbProcedure="false">缺陷记录!$A$1:$I$31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<sst xmlns="http://schemas.openxmlformats.org/spreadsheetml/2006/main" count="826" uniqueCount="517">
  <si>
    <r>
      <rPr>
        <b val="true"/>
        <sz val="18"/>
        <color rgb="FFFFFFFF"/>
        <rFont val="Microsoft YaHei"/>
        <family val="0"/>
        <charset val="1"/>
      </rPr>
      <t xml:space="preserve">JD</t>
    </r>
    <r>
      <rPr>
        <b val="true"/>
        <sz val="18"/>
        <color rgb="FFFFFFFF"/>
        <rFont val="Noto Sans CJK SC"/>
        <family val="2"/>
      </rPr>
      <t xml:space="preserve">换电柜终端 本次提测测试用例</t>
    </r>
  </si>
  <si>
    <t xml:space="preserve">项目名称</t>
  </si>
  <si>
    <r>
      <rPr>
        <sz val="11"/>
        <rFont val="Microsoft YaHei"/>
        <family val="0"/>
        <charset val="1"/>
      </rPr>
      <t xml:space="preserve">JD</t>
    </r>
    <r>
      <rPr>
        <sz val="11"/>
        <rFont val="Noto Sans CJK SC"/>
        <family val="2"/>
      </rPr>
      <t xml:space="preserve">换电柜终端</t>
    </r>
  </si>
  <si>
    <t xml:space="preserve">提测版本</t>
  </si>
  <si>
    <t xml:space="preserve">（待填）本次提测版本号</t>
  </si>
  <si>
    <t xml:space="preserve">上一版本</t>
  </si>
  <si>
    <t xml:space="preserve">（待填）上一终端版本号</t>
  </si>
  <si>
    <t xml:space="preserve">用例版本</t>
  </si>
  <si>
    <t xml:space="preserve">v1.0</t>
  </si>
  <si>
    <t xml:space="preserve">编制日期</t>
  </si>
  <si>
    <t xml:space="preserve">2026-10-28</t>
  </si>
  <si>
    <t xml:space="preserve">测试范围</t>
  </si>
  <si>
    <r>
      <rPr>
        <sz val="11"/>
        <rFont val="Noto Sans CJK SC"/>
        <family val="2"/>
      </rPr>
      <t xml:space="preserve">本次 </t>
    </r>
    <r>
      <rPr>
        <sz val="11"/>
        <rFont val="Microsoft YaHei"/>
        <family val="0"/>
        <charset val="1"/>
      </rPr>
      <t xml:space="preserve">7 </t>
    </r>
    <r>
      <rPr>
        <sz val="11"/>
        <rFont val="Noto Sans CJK SC"/>
        <family val="2"/>
      </rPr>
      <t xml:space="preserve">项改动完整用例 </t>
    </r>
    <r>
      <rPr>
        <sz val="11"/>
        <rFont val="Microsoft YaHei"/>
        <family val="0"/>
        <charset val="1"/>
      </rPr>
      <t xml:space="preserve">+ </t>
    </r>
    <r>
      <rPr>
        <sz val="11"/>
        <rFont val="Noto Sans CJK SC"/>
        <family val="2"/>
      </rPr>
      <t xml:space="preserve">上一版 </t>
    </r>
    <r>
      <rPr>
        <sz val="11"/>
        <rFont val="Microsoft YaHei"/>
        <family val="0"/>
        <charset val="1"/>
      </rPr>
      <t xml:space="preserve">7 </t>
    </r>
    <r>
      <rPr>
        <sz val="11"/>
        <rFont val="Noto Sans CJK SC"/>
        <family val="2"/>
      </rPr>
      <t xml:space="preserve">项核心链路冒烟（按确认口径）</t>
    </r>
  </si>
  <si>
    <t xml:space="preserve">测试环境</t>
  </si>
  <si>
    <r>
      <rPr>
        <sz val="11"/>
        <rFont val="Noto Sans CJK SC"/>
        <family val="2"/>
      </rPr>
      <t xml:space="preserve">实柜 </t>
    </r>
    <r>
      <rPr>
        <sz val="11"/>
        <rFont val="Microsoft YaHei"/>
        <family val="0"/>
        <charset val="1"/>
      </rPr>
      <t xml:space="preserve">+ </t>
    </r>
    <r>
      <rPr>
        <sz val="11"/>
        <rFont val="Noto Sans CJK SC"/>
        <family val="2"/>
      </rPr>
      <t xml:space="preserve">真实平台；仅有实柜，</t>
    </r>
    <r>
      <rPr>
        <sz val="11"/>
        <rFont val="Microsoft YaHei"/>
        <family val="0"/>
        <charset val="1"/>
      </rPr>
      <t xml:space="preserve">BMS </t>
    </r>
    <r>
      <rPr>
        <sz val="11"/>
        <rFont val="Noto Sans CJK SC"/>
        <family val="2"/>
      </rPr>
      <t xml:space="preserve">故障位可注入，未开发 </t>
    </r>
    <r>
      <rPr>
        <sz val="11"/>
        <rFont val="Microsoft YaHei"/>
        <family val="0"/>
        <charset val="1"/>
      </rPr>
      <t xml:space="preserve">BMS </t>
    </r>
    <r>
      <rPr>
        <sz val="11"/>
        <rFont val="Noto Sans CJK SC"/>
        <family val="2"/>
      </rPr>
      <t xml:space="preserve">故障模拟脚本；</t>
    </r>
    <r>
      <rPr>
        <sz val="11"/>
        <rFont val="Microsoft YaHei"/>
        <family val="0"/>
        <charset val="1"/>
      </rPr>
      <t xml:space="preserve">broker ACK / </t>
    </r>
    <r>
      <rPr>
        <sz val="11"/>
        <rFont val="Noto Sans CJK SC"/>
        <family val="2"/>
      </rPr>
      <t xml:space="preserve">弱网不可控</t>
    </r>
  </si>
  <si>
    <t xml:space="preserve">交付物</t>
  </si>
  <si>
    <r>
      <rPr>
        <sz val="11"/>
        <rFont val="Noto Sans CJK SC"/>
        <family val="2"/>
      </rPr>
      <t xml:space="preserve">说明与假设 </t>
    </r>
    <r>
      <rPr>
        <sz val="11"/>
        <rFont val="Microsoft YaHei"/>
        <family val="0"/>
        <charset val="1"/>
      </rPr>
      <t xml:space="preserve">/ </t>
    </r>
    <r>
      <rPr>
        <sz val="11"/>
        <rFont val="Noto Sans CJK SC"/>
        <family val="2"/>
      </rPr>
      <t xml:space="preserve">冒烟回归用例 </t>
    </r>
    <r>
      <rPr>
        <sz val="11"/>
        <rFont val="Microsoft YaHei"/>
        <family val="0"/>
        <charset val="1"/>
      </rPr>
      <t xml:space="preserve">/ </t>
    </r>
    <r>
      <rPr>
        <sz val="11"/>
        <rFont val="Noto Sans CJK SC"/>
        <family val="2"/>
      </rPr>
      <t xml:space="preserve">新增功能用例 </t>
    </r>
    <r>
      <rPr>
        <sz val="11"/>
        <rFont val="Microsoft YaHei"/>
        <family val="0"/>
        <charset val="1"/>
      </rPr>
      <t xml:space="preserve">/ </t>
    </r>
    <r>
      <rPr>
        <sz val="11"/>
        <rFont val="Noto Sans CJK SC"/>
        <family val="2"/>
      </rPr>
      <t xml:space="preserve">缺陷记录</t>
    </r>
  </si>
  <si>
    <t xml:space="preserve">用例统计（公式自动统计）</t>
  </si>
  <si>
    <t xml:space="preserve">用例总数</t>
  </si>
  <si>
    <t xml:space="preserve">P0</t>
  </si>
  <si>
    <t xml:space="preserve">冒烟回归用例</t>
  </si>
  <si>
    <t xml:space="preserve">P1</t>
  </si>
  <si>
    <t xml:space="preserve">新增功能用例</t>
  </si>
  <si>
    <t xml:space="preserve">P2</t>
  </si>
  <si>
    <t xml:space="preserve">优先级定义</t>
  </si>
  <si>
    <t xml:space="preserve">阻塞发布：核心链路、安全、资金、主要功能不可用或数据不一致</t>
  </si>
  <si>
    <r>
      <rPr>
        <sz val="11"/>
        <rFont val="Noto Sans CJK SC"/>
        <family val="2"/>
      </rPr>
      <t xml:space="preserve">重要：异常分支、边界条件、可感知的体验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一致性问题</t>
    </r>
  </si>
  <si>
    <t xml:space="preserve">一般：极端边界、长时间运行、低概率场景</t>
  </si>
  <si>
    <t xml:space="preserve">假设与待确认（规格未提供，当前按此设计；确认后需回填预期值或调整用例）</t>
  </si>
  <si>
    <t xml:space="preserve">编号</t>
  </si>
  <si>
    <t xml:space="preserve">假设项</t>
  </si>
  <si>
    <r>
      <rPr>
        <b val="true"/>
        <sz val="11"/>
        <color rgb="FFFFFFFF"/>
        <rFont val="Noto Sans CJK SC"/>
        <family val="2"/>
      </rPr>
      <t xml:space="preserve">当前取值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判定</t>
    </r>
  </si>
  <si>
    <t xml:space="preserve">影响用例</t>
  </si>
  <si>
    <t xml:space="preserve">状态</t>
  </si>
  <si>
    <t xml:space="preserve">AS-01</t>
  </si>
  <si>
    <r>
      <rPr>
        <sz val="9"/>
        <rFont val="Noto Sans CJK SC"/>
        <family val="2"/>
      </rPr>
      <t xml:space="preserve">仓控板“关门电池检测丢失 </t>
    </r>
    <r>
      <rPr>
        <sz val="9"/>
        <rFont val="Microsoft YaHei"/>
        <family val="0"/>
        <charset val="1"/>
      </rPr>
      <t xml:space="preserve">5 </t>
    </r>
    <r>
      <rPr>
        <sz val="9"/>
        <rFont val="Noto Sans CJK SC"/>
        <family val="2"/>
      </rPr>
      <t xml:space="preserve">次”</t>
    </r>
  </si>
  <si>
    <r>
      <rPr>
        <sz val="9"/>
        <rFont val="Noto Sans CJK SC"/>
        <family val="2"/>
      </rPr>
      <t xml:space="preserve">按连续 </t>
    </r>
    <r>
      <rPr>
        <sz val="9"/>
        <rFont val="Microsoft YaHei"/>
        <family val="0"/>
        <charset val="1"/>
      </rPr>
      <t xml:space="preserve">5 </t>
    </r>
    <r>
      <rPr>
        <sz val="9"/>
        <rFont val="Noto Sans CJK SC"/>
        <family val="2"/>
      </rPr>
      <t xml:space="preserve">次采样未检测到电池判定；采样周期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判定后的告警或事件字段未提供</t>
    </r>
  </si>
  <si>
    <t xml:space="preserve">NEW-01~06</t>
  </si>
  <si>
    <t xml:space="preserve">待确认</t>
  </si>
  <si>
    <t xml:space="preserve">AS-02</t>
  </si>
  <si>
    <r>
      <rPr>
        <sz val="9"/>
        <rFont val="Noto Sans CJK SC"/>
        <family val="2"/>
      </rPr>
      <t xml:space="preserve">告警 </t>
    </r>
    <r>
      <rPr>
        <sz val="9"/>
        <rFont val="Microsoft YaHei"/>
        <family val="0"/>
        <charset val="1"/>
      </rPr>
      <t xml:space="preserve">51/54/102 </t>
    </r>
    <r>
      <rPr>
        <sz val="9"/>
        <rFont val="Noto Sans CJK SC"/>
        <family val="2"/>
      </rPr>
      <t xml:space="preserve">定义</t>
    </r>
  </si>
  <si>
    <t xml:space="preserve">按“升级相关已知告警”处理；具体码义、触发与恢复条件未提供</t>
  </si>
  <si>
    <t xml:space="preserve">NEW-07~15</t>
  </si>
  <si>
    <t xml:space="preserve">AS-03</t>
  </si>
  <si>
    <r>
      <rPr>
        <sz val="9"/>
        <rFont val="Microsoft YaHei"/>
        <family val="0"/>
        <charset val="1"/>
      </rPr>
      <t xml:space="preserve">“SOC E55”</t>
    </r>
    <r>
      <rPr>
        <sz val="9"/>
        <rFont val="Noto Sans CJK SC"/>
        <family val="2"/>
      </rPr>
      <t xml:space="preserve">命名</t>
    </r>
  </si>
  <si>
    <r>
      <rPr>
        <sz val="9"/>
        <rFont val="Noto Sans CJK SC"/>
        <family val="2"/>
      </rPr>
      <t xml:space="preserve">等同于告警码 </t>
    </r>
    <r>
      <rPr>
        <sz val="9"/>
        <rFont val="Microsoft YaHei"/>
        <family val="0"/>
        <charset val="1"/>
      </rPr>
      <t xml:space="preserve">55</t>
    </r>
    <r>
      <rPr>
        <sz val="9"/>
        <rFont val="Noto Sans CJK SC"/>
        <family val="2"/>
      </rPr>
      <t xml:space="preserve">（</t>
    </r>
    <r>
      <rPr>
        <sz val="9"/>
        <rFont val="Microsoft YaHei"/>
        <family val="0"/>
        <charset val="1"/>
      </rPr>
      <t xml:space="preserve">30 </t>
    </r>
    <r>
      <rPr>
        <sz val="9"/>
        <rFont val="Noto Sans CJK SC"/>
        <family val="2"/>
      </rPr>
      <t xml:space="preserve">分钟 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无变化）</t>
    </r>
  </si>
  <si>
    <r>
      <rPr>
        <sz val="9"/>
        <rFont val="Microsoft YaHei"/>
        <family val="0"/>
        <charset val="1"/>
      </rPr>
      <t xml:space="preserve">SMK-05~08</t>
    </r>
    <r>
      <rPr>
        <sz val="9"/>
        <rFont val="Noto Sans CJK SC"/>
        <family val="2"/>
      </rPr>
      <t xml:space="preserve">、</t>
    </r>
    <r>
      <rPr>
        <sz val="9"/>
        <rFont val="Microsoft YaHei"/>
        <family val="0"/>
        <charset val="1"/>
      </rPr>
      <t xml:space="preserve">NEW-16~26</t>
    </r>
  </si>
  <si>
    <t xml:space="preserve">AS-04</t>
  </si>
  <si>
    <t xml:space="preserve">“命令电流”取值</t>
  </si>
  <si>
    <r>
      <rPr>
        <sz val="9"/>
        <rFont val="Noto Sans CJK SC"/>
        <family val="2"/>
      </rPr>
      <t xml:space="preserve">指平台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本地策略下发的充电命令电流；</t>
    </r>
    <r>
      <rPr>
        <sz val="9"/>
        <rFont val="Microsoft YaHei"/>
        <family val="0"/>
        <charset val="1"/>
      </rPr>
      <t xml:space="preserve">=0 </t>
    </r>
    <r>
      <rPr>
        <sz val="9"/>
        <rFont val="Noto Sans CJK SC"/>
        <family val="2"/>
      </rPr>
      <t xml:space="preserve">无死区（严格等于 </t>
    </r>
    <r>
      <rPr>
        <sz val="9"/>
        <rFont val="Microsoft YaHei"/>
        <family val="0"/>
        <charset val="1"/>
      </rPr>
      <t xml:space="preserve">0</t>
    </r>
    <r>
      <rPr>
        <sz val="9"/>
        <rFont val="Noto Sans CJK SC"/>
        <family val="2"/>
      </rPr>
      <t xml:space="preserve">）</t>
    </r>
  </si>
  <si>
    <t xml:space="preserve">NEW-16~26</t>
  </si>
  <si>
    <t xml:space="preserve">AS-05</t>
  </si>
  <si>
    <r>
      <rPr>
        <sz val="9"/>
        <rFont val="Microsoft YaHei"/>
        <family val="0"/>
        <charset val="1"/>
      </rPr>
      <t xml:space="preserve">“BMS </t>
    </r>
    <r>
      <rPr>
        <sz val="9"/>
        <rFont val="Noto Sans CJK SC"/>
        <family val="2"/>
      </rPr>
      <t xml:space="preserve">充”判定</t>
    </r>
  </si>
  <si>
    <r>
      <rPr>
        <sz val="9"/>
        <rFont val="Noto Sans CJK SC"/>
        <family val="2"/>
      </rPr>
      <t xml:space="preserve">以 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上报的充电状态为准（非 </t>
    </r>
    <r>
      <rPr>
        <sz val="9"/>
        <rFont val="Microsoft YaHei"/>
        <family val="0"/>
        <charset val="1"/>
      </rPr>
      <t xml:space="preserve">MOS </t>
    </r>
    <r>
      <rPr>
        <sz val="9"/>
        <rFont val="Noto Sans CJK SC"/>
        <family val="2"/>
      </rPr>
      <t xml:space="preserve">状态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电流方向）</t>
    </r>
  </si>
  <si>
    <t xml:space="preserve">NEW-17~26</t>
  </si>
  <si>
    <t xml:space="preserve">AS-06</t>
  </si>
  <si>
    <t xml:space="preserve">暂停累计的处理</t>
  </si>
  <si>
    <r>
      <rPr>
        <sz val="9"/>
        <rFont val="Noto Sans CJK SC"/>
        <family val="2"/>
      </rPr>
      <t xml:space="preserve">暂停时保留已累计时间，恢复后接续累计；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变化则清零重计</t>
    </r>
  </si>
  <si>
    <t xml:space="preserve">NEW-20~21</t>
  </si>
  <si>
    <t xml:space="preserve">AS-07</t>
  </si>
  <si>
    <t xml:space="preserve">温度有符号解析规格</t>
  </si>
  <si>
    <r>
      <rPr>
        <sz val="9"/>
        <rFont val="Noto Sans CJK SC"/>
        <family val="2"/>
      </rPr>
      <t xml:space="preserve">按 </t>
    </r>
    <r>
      <rPr>
        <sz val="9"/>
        <rFont val="Microsoft YaHei"/>
        <family val="0"/>
        <charset val="1"/>
      </rPr>
      <t xml:space="preserve">int8</t>
    </r>
    <r>
      <rPr>
        <sz val="9"/>
        <rFont val="Noto Sans CJK SC"/>
        <family val="2"/>
      </rPr>
      <t xml:space="preserve">、单位 </t>
    </r>
    <r>
      <rPr>
        <sz val="9"/>
        <rFont val="Microsoft YaHei"/>
        <family val="0"/>
        <charset val="1"/>
      </rPr>
      <t xml:space="preserve">1℃</t>
    </r>
    <r>
      <rPr>
        <sz val="9"/>
        <rFont val="Noto Sans CJK SC"/>
        <family val="2"/>
      </rPr>
      <t xml:space="preserve">、量程 </t>
    </r>
    <r>
      <rPr>
        <sz val="9"/>
        <rFont val="Microsoft YaHei"/>
        <family val="0"/>
        <charset val="1"/>
      </rPr>
      <t xml:space="preserve">-40~125℃ </t>
    </r>
    <r>
      <rPr>
        <sz val="9"/>
        <rFont val="Noto Sans CJK SC"/>
        <family val="2"/>
      </rPr>
      <t xml:space="preserve">解析</t>
    </r>
  </si>
  <si>
    <t xml:space="preserve">NEW-27~33</t>
  </si>
  <si>
    <t xml:space="preserve">AS-08</t>
  </si>
  <si>
    <t xml:space="preserve">“保底涓流活保”取值</t>
  </si>
  <si>
    <t xml:space="preserve">具体保底电流值、总功率上限、分配优先级未提供；用例只验证“≥保底且不超总功率”</t>
  </si>
  <si>
    <t xml:space="preserve">NEW-34~39</t>
  </si>
  <si>
    <t xml:space="preserve">AS-09</t>
  </si>
  <si>
    <r>
      <rPr>
        <sz val="9"/>
        <rFont val="Noto Sans CJK SC"/>
        <family val="2"/>
      </rPr>
      <t xml:space="preserve">升级“关键 </t>
    </r>
    <r>
      <rPr>
        <sz val="9"/>
        <rFont val="Microsoft YaHei"/>
        <family val="0"/>
        <charset val="1"/>
      </rPr>
      <t xml:space="preserve">4 </t>
    </r>
    <r>
      <rPr>
        <sz val="9"/>
        <rFont val="Noto Sans CJK SC"/>
        <family val="2"/>
      </rPr>
      <t xml:space="preserve">步”</t>
    </r>
  </si>
  <si>
    <r>
      <rPr>
        <sz val="9"/>
        <rFont val="Noto Sans CJK SC"/>
        <family val="2"/>
      </rPr>
      <t xml:space="preserve">按下发→传输→校验→激活理解；重试 </t>
    </r>
    <r>
      <rPr>
        <sz val="9"/>
        <rFont val="Microsoft YaHei"/>
        <family val="0"/>
        <charset val="1"/>
      </rPr>
      <t xml:space="preserve">3 </t>
    </r>
    <r>
      <rPr>
        <sz val="9"/>
        <rFont val="Noto Sans CJK SC"/>
        <family val="2"/>
      </rPr>
      <t xml:space="preserve">次、间隔与总超时未提供</t>
    </r>
  </si>
  <si>
    <t xml:space="preserve">NEW-40~43</t>
  </si>
  <si>
    <t xml:space="preserve">AS-10</t>
  </si>
  <si>
    <t xml:space="preserve">网络优化验收指标</t>
  </si>
  <si>
    <t xml:space="preserve">重连间隔、退避策略、最大重试次数未提供；用例记录实测值并与研发确认规格比对</t>
  </si>
  <si>
    <t xml:space="preserve">NEW-47~50</t>
  </si>
  <si>
    <t xml:space="preserve">AS-11</t>
  </si>
  <si>
    <r>
      <rPr>
        <sz val="9"/>
        <rFont val="Microsoft YaHei"/>
        <family val="0"/>
        <charset val="1"/>
      </rPr>
      <t xml:space="preserve">bms_fault_stat </t>
    </r>
    <r>
      <rPr>
        <sz val="9"/>
        <rFont val="Noto Sans CJK SC"/>
        <family val="2"/>
      </rPr>
      <t xml:space="preserve">编码</t>
    </r>
  </si>
  <si>
    <r>
      <rPr>
        <sz val="9"/>
        <rFont val="Microsoft YaHei"/>
        <family val="0"/>
        <charset val="1"/>
      </rPr>
      <t xml:space="preserve">uint32 </t>
    </r>
    <r>
      <rPr>
        <sz val="9"/>
        <rFont val="Noto Sans CJK SC"/>
        <family val="2"/>
      </rPr>
      <t xml:space="preserve">小端，</t>
    </r>
    <r>
      <rPr>
        <sz val="9"/>
        <rFont val="Microsoft YaHei"/>
        <family val="0"/>
        <charset val="1"/>
      </rPr>
      <t xml:space="preserve">bit0 </t>
    </r>
    <r>
      <rPr>
        <sz val="9"/>
        <rFont val="Noto Sans CJK SC"/>
        <family val="2"/>
      </rPr>
      <t xml:space="preserve">为最低位，</t>
    </r>
    <r>
      <rPr>
        <sz val="9"/>
        <rFont val="Microsoft YaHei"/>
        <family val="0"/>
        <charset val="1"/>
      </rPr>
      <t xml:space="preserve">bit0~bit21 </t>
    </r>
    <r>
      <rPr>
        <sz val="9"/>
        <rFont val="Noto Sans CJK SC"/>
        <family val="2"/>
      </rPr>
      <t xml:space="preserve">有效，非 </t>
    </r>
    <r>
      <rPr>
        <sz val="9"/>
        <rFont val="Microsoft YaHei"/>
        <family val="0"/>
        <charset val="1"/>
      </rPr>
      <t xml:space="preserve">0 </t>
    </r>
    <r>
      <rPr>
        <sz val="9"/>
        <rFont val="Noto Sans CJK SC"/>
        <family val="2"/>
      </rPr>
      <t xml:space="preserve">即故障</t>
    </r>
  </si>
  <si>
    <r>
      <rPr>
        <sz val="9"/>
        <rFont val="Microsoft YaHei"/>
        <family val="0"/>
        <charset val="1"/>
      </rPr>
      <t xml:space="preserve">SMK-09~11</t>
    </r>
    <r>
      <rPr>
        <sz val="9"/>
        <rFont val="Noto Sans CJK SC"/>
        <family val="2"/>
      </rPr>
      <t xml:space="preserve">、</t>
    </r>
    <r>
      <rPr>
        <sz val="9"/>
        <rFont val="Microsoft YaHei"/>
        <family val="0"/>
        <charset val="1"/>
      </rPr>
      <t xml:space="preserve">SMK-17</t>
    </r>
  </si>
  <si>
    <t xml:space="preserve">AS-12</t>
  </si>
  <si>
    <t xml:space="preserve">升级期间“忽略告警”范围</t>
  </si>
  <si>
    <r>
      <rPr>
        <sz val="9"/>
        <rFont val="Noto Sans CJK SC"/>
        <family val="2"/>
      </rPr>
      <t xml:space="preserve">指不产生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不上报平台；本地灯、蜂鸣、停充策略不变</t>
    </r>
  </si>
  <si>
    <r>
      <rPr>
        <b val="true"/>
        <sz val="11"/>
        <color rgb="FF1F3864"/>
        <rFont val="Noto Sans CJK SC"/>
        <family val="2"/>
      </rPr>
      <t xml:space="preserve">阻塞与依赖（当前环境无法覆盖，需研发</t>
    </r>
    <r>
      <rPr>
        <b val="true"/>
        <sz val="11"/>
        <color rgb="FF1F3864"/>
        <rFont val="Microsoft YaHei"/>
        <family val="0"/>
        <charset val="1"/>
      </rPr>
      <t xml:space="preserve">/</t>
    </r>
    <r>
      <rPr>
        <b val="true"/>
        <sz val="11"/>
        <color rgb="FF1F3864"/>
        <rFont val="Noto Sans CJK SC"/>
        <family val="2"/>
      </rPr>
      <t xml:space="preserve">资源支持）</t>
    </r>
  </si>
  <si>
    <t xml:space="preserve">事项</t>
  </si>
  <si>
    <t xml:space="preserve">建议</t>
  </si>
  <si>
    <t xml:space="preserve">BL-01</t>
  </si>
  <si>
    <r>
      <rPr>
        <sz val="9"/>
        <rFont val="Microsoft YaHei"/>
        <family val="0"/>
        <charset val="1"/>
      </rPr>
      <t xml:space="preserve">broker ACK </t>
    </r>
    <r>
      <rPr>
        <sz val="9"/>
        <rFont val="Noto Sans CJK SC"/>
        <family val="2"/>
      </rPr>
      <t xml:space="preserve">丢失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延迟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重复注入工具缺失，无法验证告警确认机制的异常分支</t>
    </r>
  </si>
  <si>
    <r>
      <rPr>
        <sz val="9"/>
        <rFont val="Microsoft YaHei"/>
        <family val="0"/>
        <charset val="1"/>
      </rPr>
      <t xml:space="preserve">SMK-13</t>
    </r>
    <r>
      <rPr>
        <sz val="9"/>
        <rFont val="Noto Sans CJK SC"/>
        <family val="2"/>
      </rPr>
      <t xml:space="preserve">、</t>
    </r>
    <r>
      <rPr>
        <sz val="9"/>
        <rFont val="Microsoft YaHei"/>
        <family val="0"/>
        <charset val="1"/>
      </rPr>
      <t xml:space="preserve">SMK-19</t>
    </r>
    <r>
      <rPr>
        <sz val="9"/>
        <rFont val="Noto Sans CJK SC"/>
        <family val="2"/>
      </rPr>
      <t xml:space="preserve">、</t>
    </r>
    <r>
      <rPr>
        <sz val="9"/>
        <rFont val="Microsoft YaHei"/>
        <family val="0"/>
        <charset val="1"/>
      </rPr>
      <t xml:space="preserve">NEW-50</t>
    </r>
  </si>
  <si>
    <r>
      <rPr>
        <sz val="9"/>
        <rFont val="Noto Sans CJK SC"/>
        <family val="2"/>
      </rPr>
      <t xml:space="preserve">需研发或测试平台提供 </t>
    </r>
    <r>
      <rPr>
        <sz val="9"/>
        <rFont val="Microsoft YaHei"/>
        <family val="0"/>
        <charset val="1"/>
      </rPr>
      <t xml:space="preserve">ACK </t>
    </r>
    <r>
      <rPr>
        <sz val="9"/>
        <rFont val="Noto Sans CJK SC"/>
        <family val="2"/>
      </rPr>
      <t xml:space="preserve">注入能力，或允许查看终端重试日志替代</t>
    </r>
  </si>
  <si>
    <t xml:space="preserve">BL-02</t>
  </si>
  <si>
    <r>
      <rPr>
        <sz val="9"/>
        <rFont val="Noto Sans CJK SC"/>
        <family val="2"/>
      </rPr>
      <t xml:space="preserve">告警 </t>
    </r>
    <r>
      <rPr>
        <sz val="9"/>
        <rFont val="Microsoft YaHei"/>
        <family val="0"/>
        <charset val="1"/>
      </rPr>
      <t xml:space="preserve">51/54/102 </t>
    </r>
    <r>
      <rPr>
        <sz val="9"/>
        <rFont val="Noto Sans CJK SC"/>
        <family val="2"/>
      </rPr>
      <t xml:space="preserve">无稳定触发手段</t>
    </r>
  </si>
  <si>
    <r>
      <rPr>
        <sz val="9"/>
        <rFont val="Noto Sans CJK SC"/>
        <family val="2"/>
      </rPr>
      <t xml:space="preserve">需研发提供触发方式（调试命令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故障注入），否则标记阻塞</t>
    </r>
  </si>
  <si>
    <t xml:space="preserve">BL-03</t>
  </si>
  <si>
    <r>
      <rPr>
        <sz val="9"/>
        <rFont val="Noto Sans CJK SC"/>
        <family val="2"/>
      </rPr>
      <t xml:space="preserve">负温环境构造资源不足（无温箱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电阻箱）</t>
    </r>
  </si>
  <si>
    <r>
      <rPr>
        <sz val="9"/>
        <rFont val="Noto Sans CJK SC"/>
        <family val="2"/>
      </rPr>
      <t xml:space="preserve">使用冰袋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冷柜对传感器降温，或用可调电阻模拟 </t>
    </r>
    <r>
      <rPr>
        <sz val="9"/>
        <rFont val="Microsoft YaHei"/>
        <family val="0"/>
        <charset val="1"/>
      </rPr>
      <t xml:space="preserve">NTC</t>
    </r>
  </si>
  <si>
    <t xml:space="preserve">BL-04</t>
  </si>
  <si>
    <r>
      <rPr>
        <sz val="9"/>
        <rFont val="Microsoft YaHei"/>
        <family val="0"/>
        <charset val="1"/>
      </rPr>
      <t xml:space="preserve">22 </t>
    </r>
    <r>
      <rPr>
        <sz val="9"/>
        <rFont val="Noto Sans CJK SC"/>
        <family val="2"/>
      </rPr>
      <t xml:space="preserve">种 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故障能否逐 </t>
    </r>
    <r>
      <rPr>
        <sz val="9"/>
        <rFont val="Microsoft YaHei"/>
        <family val="0"/>
        <charset val="1"/>
      </rPr>
      <t xml:space="preserve">bit </t>
    </r>
    <r>
      <rPr>
        <sz val="9"/>
        <rFont val="Noto Sans CJK SC"/>
        <family val="2"/>
      </rPr>
      <t xml:space="preserve">注入未确认</t>
    </r>
  </si>
  <si>
    <r>
      <rPr>
        <sz val="9"/>
        <rFont val="Microsoft YaHei"/>
        <family val="0"/>
        <charset val="1"/>
      </rPr>
      <t xml:space="preserve">SMK-09</t>
    </r>
    <r>
      <rPr>
        <sz val="9"/>
        <rFont val="Noto Sans CJK SC"/>
        <family val="2"/>
      </rPr>
      <t xml:space="preserve">、</t>
    </r>
    <r>
      <rPr>
        <sz val="9"/>
        <rFont val="Microsoft YaHei"/>
        <family val="0"/>
        <charset val="1"/>
      </rPr>
      <t xml:space="preserve">SMK-17</t>
    </r>
  </si>
  <si>
    <t xml:space="preserve">确认注入工具能力；不支持时降级为抽样位验证</t>
  </si>
  <si>
    <t xml:space="preserve">执行说明</t>
  </si>
  <si>
    <r>
      <rPr>
        <sz val="10"/>
        <rFont val="Microsoft YaHei"/>
        <family val="0"/>
        <charset val="1"/>
      </rPr>
      <t xml:space="preserve">1. </t>
    </r>
    <r>
      <rPr>
        <sz val="10"/>
        <rFont val="Noto Sans CJK SC"/>
        <family val="2"/>
      </rPr>
      <t xml:space="preserve">每条用例执行后填写“实测结果、结论、缺陷</t>
    </r>
    <r>
      <rPr>
        <sz val="10"/>
        <rFont val="Microsoft YaHei"/>
        <family val="0"/>
        <charset val="1"/>
      </rPr>
      <t xml:space="preserve">ID”</t>
    </r>
    <r>
      <rPr>
        <sz val="10"/>
        <rFont val="Noto Sans CJK SC"/>
        <family val="2"/>
      </rPr>
      <t xml:space="preserve">，结论仅可填 通过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失败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阻塞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未执行。</t>
    </r>
  </si>
  <si>
    <r>
      <rPr>
        <sz val="10"/>
        <rFont val="Microsoft YaHei"/>
        <family val="0"/>
        <charset val="1"/>
      </rPr>
      <t xml:space="preserve">2. </t>
    </r>
    <r>
      <rPr>
        <sz val="10"/>
        <rFont val="Noto Sans CJK SC"/>
        <family val="2"/>
      </rPr>
      <t xml:space="preserve">涉及重启的用例（维护门、仓控板计数、升级、告警恢复）必须记录重启前后平台状态与时间点。</t>
    </r>
  </si>
  <si>
    <r>
      <rPr>
        <sz val="10"/>
        <rFont val="Microsoft YaHei"/>
        <family val="0"/>
        <charset val="1"/>
      </rPr>
      <t xml:space="preserve">3. </t>
    </r>
    <r>
      <rPr>
        <sz val="10"/>
        <rFont val="Noto Sans CJK SC"/>
        <family val="2"/>
      </rPr>
      <t xml:space="preserve">告警类用例需同时记录终端本地状态与平台状态，出现不一致即判失败并附日志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报文。</t>
    </r>
  </si>
  <si>
    <r>
      <rPr>
        <sz val="10"/>
        <rFont val="Microsoft YaHei"/>
        <family val="0"/>
        <charset val="1"/>
      </rPr>
      <t xml:space="preserve">4. </t>
    </r>
    <r>
      <rPr>
        <sz val="10"/>
        <rFont val="Noto Sans CJK SC"/>
        <family val="2"/>
      </rPr>
      <t xml:space="preserve">功率类用例使用钳形电流表或功率计测量，记录柜总功率与单路电流，保留截图。</t>
    </r>
  </si>
  <si>
    <r>
      <rPr>
        <sz val="10"/>
        <rFont val="Microsoft YaHei"/>
        <family val="0"/>
        <charset val="1"/>
      </rPr>
      <t xml:space="preserve">5. </t>
    </r>
    <r>
      <rPr>
        <sz val="10"/>
        <rFont val="Noto Sans CJK SC"/>
        <family val="2"/>
      </rPr>
      <t xml:space="preserve">标注“待确认”的预期值在研发确认规格后回填；未确认前按“记录实测值 </t>
    </r>
    <r>
      <rPr>
        <sz val="10"/>
        <rFont val="Microsoft YaHei"/>
        <family val="0"/>
        <charset val="1"/>
      </rPr>
      <t xml:space="preserve">+ </t>
    </r>
    <r>
      <rPr>
        <sz val="10"/>
        <rFont val="Noto Sans CJK SC"/>
        <family val="2"/>
      </rPr>
      <t xml:space="preserve">与规格比对”判定。</t>
    </r>
  </si>
  <si>
    <r>
      <rPr>
        <sz val="10"/>
        <rFont val="Microsoft YaHei"/>
        <family val="0"/>
        <charset val="1"/>
      </rPr>
      <t xml:space="preserve">6. </t>
    </r>
    <r>
      <rPr>
        <sz val="10"/>
        <rFont val="Noto Sans CJK SC"/>
        <family val="2"/>
      </rPr>
      <t xml:space="preserve">阻塞用例需在缺陷记录中登记依赖项，不得直接判通过。</t>
    </r>
  </si>
  <si>
    <t xml:space="preserve">用例编号</t>
  </si>
  <si>
    <t xml:space="preserve">模块</t>
  </si>
  <si>
    <t xml:space="preserve">需求来源</t>
  </si>
  <si>
    <t xml:space="preserve">用例类型</t>
  </si>
  <si>
    <t xml:space="preserve">优先级</t>
  </si>
  <si>
    <t xml:space="preserve">前置条件</t>
  </si>
  <si>
    <t xml:space="preserve">测试步骤</t>
  </si>
  <si>
    <t xml:space="preserve">预期结果</t>
  </si>
  <si>
    <r>
      <rPr>
        <b val="true"/>
        <sz val="11"/>
        <color rgb="FFFFFFFF"/>
        <rFont val="Noto Sans CJK SC"/>
        <family val="2"/>
      </rPr>
      <t xml:space="preserve">观测点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工具</t>
    </r>
  </si>
  <si>
    <t xml:space="preserve">实测结果</t>
  </si>
  <si>
    <t xml:space="preserve">结论</t>
  </si>
  <si>
    <r>
      <rPr>
        <b val="true"/>
        <sz val="11"/>
        <color rgb="FFFFFFFF"/>
        <rFont val="Noto Sans CJK SC"/>
        <family val="2"/>
      </rPr>
      <t xml:space="preserve">缺陷</t>
    </r>
    <r>
      <rPr>
        <b val="true"/>
        <sz val="11"/>
        <color rgb="FFFFFFFF"/>
        <rFont val="Microsoft YaHei"/>
        <family val="0"/>
        <charset val="1"/>
      </rPr>
      <t xml:space="preserve">ID</t>
    </r>
  </si>
  <si>
    <r>
      <rPr>
        <b val="true"/>
        <sz val="11"/>
        <color rgb="FFFFFFFF"/>
        <rFont val="Noto Sans CJK SC"/>
        <family val="2"/>
      </rPr>
      <t xml:space="preserve">备注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待确认</t>
    </r>
  </si>
  <si>
    <t xml:space="preserve">SMK-01</t>
  </si>
  <si>
    <t xml:space="preserve">维护门</t>
  </si>
  <si>
    <r>
      <rPr>
        <sz val="9"/>
        <rFont val="Noto Sans CJK SC"/>
        <family val="2"/>
      </rPr>
      <t xml:space="preserve">上一版</t>
    </r>
    <r>
      <rPr>
        <sz val="9"/>
        <rFont val="Microsoft YaHei"/>
        <family val="0"/>
        <charset val="1"/>
      </rPr>
      <t xml:space="preserve">-1 </t>
    </r>
    <r>
      <rPr>
        <sz val="9"/>
        <rFont val="Noto Sans CJK SC"/>
        <family val="2"/>
      </rPr>
      <t xml:space="preserve">门磁反馈</t>
    </r>
  </si>
  <si>
    <t xml:space="preserve">冒烟</t>
  </si>
  <si>
    <t xml:space="preserve">柜体上电，终端在线，平台可查看柜门状态；维护门门磁工作正常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</si>
  <si>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打开维护门，观察实际门磁与平台门状态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关闭维护门，观察实际门磁与平台门状态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反复开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关 </t>
    </r>
    <r>
      <rPr>
        <sz val="9"/>
        <rFont val="Microsoft YaHei"/>
        <family val="0"/>
        <charset val="1"/>
      </rPr>
      <t xml:space="preserve">3 </t>
    </r>
    <r>
      <rPr>
        <sz val="9"/>
        <rFont val="Noto Sans CJK SC"/>
        <family val="2"/>
      </rPr>
      <t xml:space="preserve">次，每次记录平台状态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</si>
  <si>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开门时平台显示“开”，与门磁实际状态一致，上报时延符合规格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关门时平台显示“关”，与门磁一致
</t>
    </r>
    <r>
      <rPr>
        <sz val="9"/>
        <rFont val="Microsoft YaHei"/>
        <family val="0"/>
        <charset val="1"/>
      </rPr>
      <t xml:space="preserve">3. 3 </t>
    </r>
    <r>
      <rPr>
        <sz val="9"/>
        <rFont val="Noto Sans CJK SC"/>
        <family val="2"/>
      </rPr>
      <t xml:space="preserve">次操作均与实际门磁一致，无误报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漏报</t>
    </r>
  </si>
  <si>
    <t xml:space="preserve">平台柜状态页、终端日志、门磁指示灯</t>
  </si>
  <si>
    <t xml:space="preserve">需记录上报时延</t>
  </si>
  <si>
    <t xml:space="preserve">SMK-02</t>
  </si>
  <si>
    <t xml:space="preserve">维护门分别处于关闭、打开状态各一次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</si>
  <si>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保持维护门关闭，重启终端，启动后查看平台与本地门状态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保持维护门打开，再次重启，查看状态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</si>
  <si>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重启后门状态与实际门磁一致，不出现软件默认值导致的不一致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打开状态下重启仍显示“开”</t>
    </r>
  </si>
  <si>
    <r>
      <rPr>
        <sz val="9"/>
        <rFont val="Noto Sans CJK SC"/>
        <family val="2"/>
      </rPr>
      <t xml:space="preserve">平台柜状态页、本地屏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日志</t>
    </r>
  </si>
  <si>
    <t xml:space="preserve">需测试重启</t>
  </si>
  <si>
    <t xml:space="preserve">SMK-03</t>
  </si>
  <si>
    <r>
      <rPr>
        <sz val="9"/>
        <rFont val="Noto Sans CJK SC"/>
        <family val="2"/>
      </rPr>
      <t xml:space="preserve">可构造软件记录状态与门磁不一致（异常断电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升级后）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</si>
  <si>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制造不一致场景（门实际开、软件记录关）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重启终端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查看平台与本地状态</t>
    </r>
  </si>
  <si>
    <t xml:space="preserve">以门磁实际状态为准，重启后自动纠正为“开”，无残留错误状态</t>
  </si>
  <si>
    <t xml:space="preserve">平台、终端日志</t>
  </si>
  <si>
    <r>
      <rPr>
        <sz val="9"/>
        <rFont val="Noto Sans CJK SC"/>
        <family val="2"/>
      </rPr>
      <t xml:space="preserve">若无法构造，用 </t>
    </r>
    <r>
      <rPr>
        <sz val="9"/>
        <rFont val="Microsoft YaHei"/>
        <family val="0"/>
        <charset val="1"/>
      </rPr>
      <t xml:space="preserve">SMK-02 </t>
    </r>
    <r>
      <rPr>
        <sz val="9"/>
        <rFont val="Noto Sans CJK SC"/>
        <family val="2"/>
      </rPr>
      <t xml:space="preserve">覆盖并备注</t>
    </r>
  </si>
  <si>
    <t xml:space="preserve">SMK-04</t>
  </si>
  <si>
    <t xml:space="preserve">物模型</t>
  </si>
  <si>
    <r>
      <rPr>
        <sz val="9"/>
        <rFont val="Noto Sans CJK SC"/>
        <family val="2"/>
      </rPr>
      <t xml:space="preserve">上一版</t>
    </r>
    <r>
      <rPr>
        <sz val="9"/>
        <rFont val="Microsoft YaHei"/>
        <family val="0"/>
        <charset val="1"/>
      </rPr>
      <t xml:space="preserve">-2 </t>
    </r>
    <r>
      <rPr>
        <sz val="9"/>
        <rFont val="Noto Sans CJK SC"/>
        <family val="2"/>
      </rPr>
      <t xml:space="preserve">物模型版本</t>
    </r>
  </si>
  <si>
    <t xml:space="preserve">终端启动并成功连接平台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</si>
  <si>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平台查看物模型版本号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核对属性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事件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服务列表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确认单仓告警 </t>
    </r>
    <r>
      <rPr>
        <sz val="9"/>
        <rFont val="Microsoft YaHei"/>
        <family val="0"/>
        <charset val="1"/>
      </rPr>
      <t xml:space="preserve">55 </t>
    </r>
    <r>
      <rPr>
        <sz val="9"/>
        <rFont val="Noto Sans CJK SC"/>
        <family val="2"/>
      </rPr>
      <t xml:space="preserve">相关字段存在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</si>
  <si>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版本号等于本次发布版本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原有字段无缺失、类型正确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告警 </t>
    </r>
    <r>
      <rPr>
        <sz val="9"/>
        <rFont val="Microsoft YaHei"/>
        <family val="0"/>
        <charset val="1"/>
      </rPr>
      <t xml:space="preserve">55 </t>
    </r>
    <r>
      <rPr>
        <sz val="9"/>
        <rFont val="Noto Sans CJK SC"/>
        <family val="2"/>
      </rPr>
      <t xml:space="preserve">字段存在且可按仓上报</t>
    </r>
  </si>
  <si>
    <r>
      <rPr>
        <sz val="9"/>
        <rFont val="Noto Sans CJK SC"/>
        <family val="2"/>
      </rPr>
      <t xml:space="preserve">平台物模型页、</t>
    </r>
    <r>
      <rPr>
        <sz val="9"/>
        <rFont val="Microsoft YaHei"/>
        <family val="0"/>
        <charset val="1"/>
      </rPr>
      <t xml:space="preserve">MQTT </t>
    </r>
    <r>
      <rPr>
        <sz val="9"/>
        <rFont val="Noto Sans CJK SC"/>
        <family val="2"/>
      </rPr>
      <t xml:space="preserve">报文</t>
    </r>
  </si>
  <si>
    <t xml:space="preserve">目标版本号待填</t>
  </si>
  <si>
    <t xml:space="preserve">SMK-05</t>
  </si>
  <si>
    <r>
      <rPr>
        <sz val="9"/>
        <rFont val="Noto Sans CJK SC"/>
        <family val="2"/>
      </rPr>
      <t xml:space="preserve">告警</t>
    </r>
    <r>
      <rPr>
        <sz val="9"/>
        <rFont val="Microsoft YaHei"/>
        <family val="0"/>
        <charset val="1"/>
      </rPr>
      <t xml:space="preserve">55</t>
    </r>
  </si>
  <si>
    <r>
      <rPr>
        <sz val="9"/>
        <rFont val="Noto Sans CJK SC"/>
        <family val="2"/>
      </rPr>
      <t xml:space="preserve">上一版</t>
    </r>
    <r>
      <rPr>
        <sz val="9"/>
        <rFont val="Microsoft YaHei"/>
        <family val="0"/>
        <charset val="1"/>
      </rPr>
      <t xml:space="preserve">-2 </t>
    </r>
    <r>
      <rPr>
        <sz val="9"/>
        <rFont val="Noto Sans CJK SC"/>
        <family val="2"/>
      </rPr>
      <t xml:space="preserve">告警</t>
    </r>
    <r>
      <rPr>
        <sz val="9"/>
        <rFont val="Microsoft YaHei"/>
        <family val="0"/>
        <charset val="1"/>
      </rPr>
      <t xml:space="preserve">55</t>
    </r>
  </si>
  <si>
    <r>
      <rPr>
        <sz val="9"/>
        <rFont val="Noto Sans CJK SC"/>
        <family val="2"/>
      </rPr>
      <t xml:space="preserve">单仓充电中，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可观测；可控制 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停滞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</si>
  <si>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电池 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处于 </t>
    </r>
    <r>
      <rPr>
        <sz val="9"/>
        <rFont val="Microsoft YaHei"/>
        <family val="0"/>
        <charset val="1"/>
      </rPr>
      <t xml:space="preserve">0~100</t>
    </r>
    <r>
      <rPr>
        <sz val="9"/>
        <rFont val="Noto Sans CJK SC"/>
        <family val="2"/>
      </rPr>
      <t xml:space="preserve">，启动充电（上升过程）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保持充电状态使 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连续 </t>
    </r>
    <r>
      <rPr>
        <sz val="9"/>
        <rFont val="Microsoft YaHei"/>
        <family val="0"/>
        <charset val="1"/>
      </rPr>
      <t xml:space="preserve">30 </t>
    </r>
    <r>
      <rPr>
        <sz val="9"/>
        <rFont val="Noto Sans CJK SC"/>
        <family val="2"/>
      </rPr>
      <t xml:space="preserve">分钟无变化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观察该仓告警</t>
    </r>
  </si>
  <si>
    <r>
      <rPr>
        <sz val="9"/>
        <rFont val="Noto Sans CJK SC"/>
        <family val="2"/>
      </rPr>
      <t xml:space="preserve">第 </t>
    </r>
    <r>
      <rPr>
        <sz val="9"/>
        <rFont val="Microsoft YaHei"/>
        <family val="0"/>
        <charset val="1"/>
      </rPr>
      <t xml:space="preserve">30 </t>
    </r>
    <r>
      <rPr>
        <sz val="9"/>
        <rFont val="Noto Sans CJK SC"/>
        <family val="2"/>
      </rPr>
      <t xml:space="preserve">分钟（容差按规格）产生该仓告警 </t>
    </r>
    <r>
      <rPr>
        <sz val="9"/>
        <rFont val="Microsoft YaHei"/>
        <family val="0"/>
        <charset val="1"/>
      </rPr>
      <t xml:space="preserve">55 </t>
    </r>
    <r>
      <rPr>
        <sz val="9"/>
        <rFont val="Noto Sans CJK SC"/>
        <family val="2"/>
      </rPr>
      <t xml:space="preserve">并上报，含仓号，仅该仓触发</t>
    </r>
  </si>
  <si>
    <t xml:space="preserve">平台告警中心、终端日志</t>
  </si>
  <si>
    <t xml:space="preserve">计时起点与容差待确认</t>
  </si>
  <si>
    <t xml:space="preserve">SMK-06</t>
  </si>
  <si>
    <r>
      <rPr>
        <sz val="9"/>
        <rFont val="Noto Sans CJK SC"/>
        <family val="2"/>
      </rPr>
      <t xml:space="preserve">单仓 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处于 </t>
    </r>
    <r>
      <rPr>
        <sz val="9"/>
        <rFont val="Microsoft YaHei"/>
        <family val="0"/>
        <charset val="1"/>
      </rPr>
      <t xml:space="preserve">95~100 </t>
    </r>
    <r>
      <rPr>
        <sz val="9"/>
        <rFont val="Noto Sans CJK SC"/>
        <family val="2"/>
      </rPr>
      <t xml:space="preserve">且处于下降过程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</si>
  <si>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使 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在 </t>
    </r>
    <r>
      <rPr>
        <sz val="9"/>
        <rFont val="Microsoft YaHei"/>
        <family val="0"/>
        <charset val="1"/>
      </rPr>
      <t xml:space="preserve">95~100 </t>
    </r>
    <r>
      <rPr>
        <sz val="9"/>
        <rFont val="Noto Sans CJK SC"/>
        <family val="2"/>
      </rPr>
      <t xml:space="preserve">区间下降并停滞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保持 </t>
    </r>
    <r>
      <rPr>
        <sz val="9"/>
        <rFont val="Microsoft YaHei"/>
        <family val="0"/>
        <charset val="1"/>
      </rPr>
      <t xml:space="preserve">30 </t>
    </r>
    <r>
      <rPr>
        <sz val="9"/>
        <rFont val="Noto Sans CJK SC"/>
        <family val="2"/>
      </rPr>
      <t xml:space="preserve">分钟无变化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观察告警</t>
    </r>
  </si>
  <si>
    <r>
      <rPr>
        <sz val="9"/>
        <rFont val="Noto Sans CJK SC"/>
        <family val="2"/>
      </rPr>
      <t xml:space="preserve">不产生告警 </t>
    </r>
    <r>
      <rPr>
        <sz val="9"/>
        <rFont val="Microsoft YaHei"/>
        <family val="0"/>
        <charset val="1"/>
      </rPr>
      <t xml:space="preserve">55</t>
    </r>
  </si>
  <si>
    <t xml:space="preserve">平台告警中心、日志</t>
  </si>
  <si>
    <t xml:space="preserve">下降过程判定依据待确认</t>
  </si>
  <si>
    <t xml:space="preserve">SMK-07</t>
  </si>
  <si>
    <r>
      <rPr>
        <sz val="9"/>
        <rFont val="Noto Sans CJK SC"/>
        <family val="2"/>
      </rPr>
      <t xml:space="preserve">单仓 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处于 </t>
    </r>
    <r>
      <rPr>
        <sz val="9"/>
        <rFont val="Microsoft YaHei"/>
        <family val="0"/>
        <charset val="1"/>
      </rPr>
      <t xml:space="preserve">0~95 </t>
    </r>
    <r>
      <rPr>
        <sz val="9"/>
        <rFont val="Noto Sans CJK SC"/>
        <family val="2"/>
      </rPr>
      <t xml:space="preserve">且处于下降过程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</si>
  <si>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使 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在 </t>
    </r>
    <r>
      <rPr>
        <sz val="9"/>
        <rFont val="Microsoft YaHei"/>
        <family val="0"/>
        <charset val="1"/>
      </rPr>
      <t xml:space="preserve">0~95 </t>
    </r>
    <r>
      <rPr>
        <sz val="9"/>
        <rFont val="Noto Sans CJK SC"/>
        <family val="2"/>
      </rPr>
      <t xml:space="preserve">区间下降并停滞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保持 </t>
    </r>
    <r>
      <rPr>
        <sz val="9"/>
        <rFont val="Microsoft YaHei"/>
        <family val="0"/>
        <charset val="1"/>
      </rPr>
      <t xml:space="preserve">30 </t>
    </r>
    <r>
      <rPr>
        <sz val="9"/>
        <rFont val="Noto Sans CJK SC"/>
        <family val="2"/>
      </rPr>
      <t xml:space="preserve">分钟无变化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观察告警</t>
    </r>
  </si>
  <si>
    <r>
      <rPr>
        <sz val="9"/>
        <rFont val="Noto Sans CJK SC"/>
        <family val="2"/>
      </rPr>
      <t xml:space="preserve">产生告警 </t>
    </r>
    <r>
      <rPr>
        <sz val="9"/>
        <rFont val="Microsoft YaHei"/>
        <family val="0"/>
        <charset val="1"/>
      </rPr>
      <t xml:space="preserve">55 </t>
    </r>
    <r>
      <rPr>
        <sz val="9"/>
        <rFont val="Noto Sans CJK SC"/>
        <family val="2"/>
      </rPr>
      <t xml:space="preserve">并上报，含仓号</t>
    </r>
  </si>
  <si>
    <t xml:space="preserve">SMK-08</t>
  </si>
  <si>
    <r>
      <rPr>
        <sz val="9"/>
        <rFont val="Noto Sans CJK SC"/>
        <family val="2"/>
      </rPr>
      <t xml:space="preserve">已产生告警 </t>
    </r>
    <r>
      <rPr>
        <sz val="9"/>
        <rFont val="Microsoft YaHei"/>
        <family val="0"/>
        <charset val="1"/>
      </rPr>
      <t xml:space="preserve">55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</si>
  <si>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使 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发生变化（或恢复充电使 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变化）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观察告警状态</t>
    </r>
  </si>
  <si>
    <r>
      <rPr>
        <sz val="9"/>
        <rFont val="Noto Sans CJK SC"/>
        <family val="2"/>
      </rPr>
      <t xml:space="preserve">告警 </t>
    </r>
    <r>
      <rPr>
        <sz val="9"/>
        <rFont val="Microsoft YaHei"/>
        <family val="0"/>
        <charset val="1"/>
      </rPr>
      <t xml:space="preserve">55 </t>
    </r>
    <r>
      <rPr>
        <sz val="9"/>
        <rFont val="Noto Sans CJK SC"/>
        <family val="2"/>
      </rPr>
      <t xml:space="preserve">消除并上报平台，平台状态同步为已恢复</t>
    </r>
  </si>
  <si>
    <t xml:space="preserve">消除时延待确认</t>
  </si>
  <si>
    <t xml:space="preserve">SMK-09</t>
  </si>
  <si>
    <r>
      <rPr>
        <sz val="9"/>
        <rFont val="Microsoft YaHei"/>
        <family val="0"/>
        <charset val="1"/>
      </rPr>
      <t xml:space="preserve">BMS</t>
    </r>
    <r>
      <rPr>
        <sz val="9"/>
        <rFont val="Noto Sans CJK SC"/>
        <family val="2"/>
      </rPr>
      <t xml:space="preserve">故障</t>
    </r>
  </si>
  <si>
    <r>
      <rPr>
        <sz val="9"/>
        <rFont val="Noto Sans CJK SC"/>
        <family val="2"/>
      </rPr>
      <t xml:space="preserve">上一版</t>
    </r>
    <r>
      <rPr>
        <sz val="9"/>
        <rFont val="Microsoft YaHei"/>
        <family val="0"/>
        <charset val="1"/>
      </rPr>
      <t xml:space="preserve">-3 22</t>
    </r>
    <r>
      <rPr>
        <sz val="9"/>
        <rFont val="Noto Sans CJK SC"/>
        <family val="2"/>
      </rPr>
      <t xml:space="preserve">种故障禁充</t>
    </r>
  </si>
  <si>
    <r>
      <rPr>
        <sz val="9"/>
        <rFont val="Noto Sans CJK SC"/>
        <family val="2"/>
      </rPr>
      <t xml:space="preserve">可注入 </t>
    </r>
    <r>
      <rPr>
        <sz val="9"/>
        <rFont val="Microsoft YaHei"/>
        <family val="0"/>
        <charset val="1"/>
      </rPr>
      <t xml:space="preserve">bms_fault_stat </t>
    </r>
    <r>
      <rPr>
        <sz val="9"/>
        <rFont val="Noto Sans CJK SC"/>
        <family val="2"/>
      </rPr>
      <t xml:space="preserve">指定 </t>
    </r>
    <r>
      <rPr>
        <sz val="9"/>
        <rFont val="Microsoft YaHei"/>
        <family val="0"/>
        <charset val="1"/>
      </rPr>
      <t xml:space="preserve">bit</t>
    </r>
    <r>
      <rPr>
        <sz val="9"/>
        <rFont val="Noto Sans CJK SC"/>
        <family val="2"/>
      </rPr>
      <t xml:space="preserve">；单仓有电池且允许充电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</si>
  <si>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单独置位 </t>
    </r>
    <r>
      <rPr>
        <sz val="9"/>
        <rFont val="Microsoft YaHei"/>
        <family val="0"/>
        <charset val="1"/>
      </rPr>
      <t xml:space="preserve">bit0</t>
    </r>
    <r>
      <rPr>
        <sz val="9"/>
        <rFont val="Noto Sans CJK SC"/>
        <family val="2"/>
      </rPr>
      <t xml:space="preserve">，观察该仓充电灯、充电电流、平台状态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恢复为 </t>
    </r>
    <r>
      <rPr>
        <sz val="9"/>
        <rFont val="Microsoft YaHei"/>
        <family val="0"/>
        <charset val="1"/>
      </rPr>
      <t xml:space="preserve">0</t>
    </r>
    <r>
      <rPr>
        <sz val="9"/>
        <rFont val="Noto Sans CJK SC"/>
        <family val="2"/>
      </rPr>
      <t xml:space="preserve">，再分别置位 </t>
    </r>
    <r>
      <rPr>
        <sz val="9"/>
        <rFont val="Microsoft YaHei"/>
        <family val="0"/>
        <charset val="1"/>
      </rPr>
      <t xml:space="preserve">bit9</t>
    </r>
    <r>
      <rPr>
        <sz val="9"/>
        <rFont val="Noto Sans CJK SC"/>
        <family val="2"/>
      </rPr>
      <t xml:space="preserve">、</t>
    </r>
    <r>
      <rPr>
        <sz val="9"/>
        <rFont val="Microsoft YaHei"/>
        <family val="0"/>
        <charset val="1"/>
      </rPr>
      <t xml:space="preserve">bit15</t>
    </r>
    <r>
      <rPr>
        <sz val="9"/>
        <rFont val="Noto Sans CJK SC"/>
        <family val="2"/>
      </rPr>
      <t xml:space="preserve">、</t>
    </r>
    <r>
      <rPr>
        <sz val="9"/>
        <rFont val="Microsoft YaHei"/>
        <family val="0"/>
        <charset val="1"/>
      </rPr>
      <t xml:space="preserve">bit21</t>
    </r>
    <r>
      <rPr>
        <sz val="9"/>
        <rFont val="Noto Sans CJK SC"/>
        <family val="2"/>
      </rPr>
      <t xml:space="preserve">，重复观察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每次记录其他仓状态</t>
    </r>
  </si>
  <si>
    <r>
      <rPr>
        <sz val="9"/>
        <rFont val="Noto Sans CJK SC"/>
        <family val="2"/>
      </rPr>
      <t xml:space="preserve">每次该仓充电灯亮红灯，该路停止充电（电流为 </t>
    </r>
    <r>
      <rPr>
        <sz val="9"/>
        <rFont val="Microsoft YaHei"/>
        <family val="0"/>
        <charset val="1"/>
      </rPr>
      <t xml:space="preserve">0/</t>
    </r>
    <r>
      <rPr>
        <sz val="9"/>
        <rFont val="Noto Sans CJK SC"/>
        <family val="2"/>
      </rPr>
      <t xml:space="preserve">进入禁充），平台可见；其他仓不受影响</t>
    </r>
  </si>
  <si>
    <r>
      <rPr>
        <sz val="9"/>
        <rFont val="Noto Sans CJK SC"/>
        <family val="2"/>
      </rPr>
      <t xml:space="preserve">指示灯、钳形表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平台电流、平台状态、</t>
    </r>
    <r>
      <rPr>
        <sz val="9"/>
        <rFont val="Microsoft YaHei"/>
        <family val="0"/>
        <charset val="1"/>
      </rPr>
      <t xml:space="preserve">485 </t>
    </r>
    <r>
      <rPr>
        <sz val="9"/>
        <rFont val="Noto Sans CJK SC"/>
        <family val="2"/>
      </rPr>
      <t xml:space="preserve">报文</t>
    </r>
  </si>
  <si>
    <r>
      <rPr>
        <sz val="9"/>
        <rFont val="Noto Sans CJK SC"/>
        <family val="2"/>
      </rPr>
      <t xml:space="preserve">若只能整字写入，改为组合位测试；</t>
    </r>
    <r>
      <rPr>
        <sz val="9"/>
        <rFont val="Microsoft YaHei"/>
        <family val="0"/>
        <charset val="1"/>
      </rPr>
      <t xml:space="preserve">AS-11</t>
    </r>
  </si>
  <si>
    <t xml:space="preserve">SMK-10</t>
  </si>
  <si>
    <r>
      <rPr>
        <sz val="9"/>
        <rFont val="Microsoft YaHei"/>
        <family val="0"/>
        <charset val="1"/>
      </rPr>
      <t xml:space="preserve">A </t>
    </r>
    <r>
      <rPr>
        <sz val="9"/>
        <rFont val="Noto Sans CJK SC"/>
        <family val="2"/>
      </rPr>
      <t xml:space="preserve">仓可注入故障，</t>
    </r>
    <r>
      <rPr>
        <sz val="9"/>
        <rFont val="Microsoft YaHei"/>
        <family val="0"/>
        <charset val="1"/>
      </rPr>
      <t xml:space="preserve">B </t>
    </r>
    <r>
      <rPr>
        <sz val="9"/>
        <rFont val="Noto Sans CJK SC"/>
        <family val="2"/>
      </rPr>
      <t xml:space="preserve">仓正常</t>
    </r>
  </si>
  <si>
    <r>
      <rPr>
        <sz val="9"/>
        <rFont val="Microsoft YaHei"/>
        <family val="0"/>
        <charset val="1"/>
      </rPr>
      <t xml:space="preserve">1. A </t>
    </r>
    <r>
      <rPr>
        <sz val="9"/>
        <rFont val="Noto Sans CJK SC"/>
        <family val="2"/>
      </rPr>
      <t xml:space="preserve">仓注入非 </t>
    </r>
    <r>
      <rPr>
        <sz val="9"/>
        <rFont val="Microsoft YaHei"/>
        <family val="0"/>
        <charset val="1"/>
      </rPr>
      <t xml:space="preserve">0 </t>
    </r>
    <r>
      <rPr>
        <sz val="9"/>
        <rFont val="Noto Sans CJK SC"/>
        <family val="2"/>
      </rPr>
      <t xml:space="preserve">故障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观察 </t>
    </r>
    <r>
      <rPr>
        <sz val="9"/>
        <rFont val="Microsoft YaHei"/>
        <family val="0"/>
        <charset val="1"/>
      </rPr>
      <t xml:space="preserve">A/B </t>
    </r>
    <r>
      <rPr>
        <sz val="9"/>
        <rFont val="Noto Sans CJK SC"/>
        <family val="2"/>
      </rPr>
      <t xml:space="preserve">仓充电灯与电流</t>
    </r>
  </si>
  <si>
    <r>
      <rPr>
        <sz val="9"/>
        <rFont val="Microsoft YaHei"/>
        <family val="0"/>
        <charset val="1"/>
      </rPr>
      <t xml:space="preserve">A </t>
    </r>
    <r>
      <rPr>
        <sz val="9"/>
        <rFont val="Noto Sans CJK SC"/>
        <family val="2"/>
      </rPr>
      <t xml:space="preserve">仓红灯停充，</t>
    </r>
    <r>
      <rPr>
        <sz val="9"/>
        <rFont val="Microsoft YaHei"/>
        <family val="0"/>
        <charset val="1"/>
      </rPr>
      <t xml:space="preserve">B </t>
    </r>
    <r>
      <rPr>
        <sz val="9"/>
        <rFont val="Noto Sans CJK SC"/>
        <family val="2"/>
      </rPr>
      <t xml:space="preserve">仓正常充电，互不影响</t>
    </r>
  </si>
  <si>
    <t xml:space="preserve">指示灯、钳形表、平台</t>
  </si>
  <si>
    <t xml:space="preserve">SMK-11</t>
  </si>
  <si>
    <t xml:space="preserve">已注入故障并进入禁充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</si>
  <si>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将 </t>
    </r>
    <r>
      <rPr>
        <sz val="9"/>
        <rFont val="Microsoft YaHei"/>
        <family val="0"/>
        <charset val="1"/>
      </rPr>
      <t xml:space="preserve">bms_fault_stat </t>
    </r>
    <r>
      <rPr>
        <sz val="9"/>
        <rFont val="Noto Sans CJK SC"/>
        <family val="2"/>
      </rPr>
      <t xml:space="preserve">恢复为 </t>
    </r>
    <r>
      <rPr>
        <sz val="9"/>
        <rFont val="Microsoft YaHei"/>
        <family val="0"/>
        <charset val="1"/>
      </rPr>
      <t xml:space="preserve">0
2. </t>
    </r>
    <r>
      <rPr>
        <sz val="9"/>
        <rFont val="Noto Sans CJK SC"/>
        <family val="2"/>
      </rPr>
      <t xml:space="preserve">观察充电灯与充电是否恢复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查看平台状态</t>
    </r>
  </si>
  <si>
    <r>
      <rPr>
        <sz val="9"/>
        <rFont val="Noto Sans CJK SC"/>
        <family val="2"/>
      </rPr>
      <t xml:space="preserve">红灯灭，恢复允许充电（是否需重新插拔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延时按规格），平台状态同步</t>
    </r>
  </si>
  <si>
    <t xml:space="preserve">指示灯、电流、平台</t>
  </si>
  <si>
    <t xml:space="preserve">恢复策略待确认</t>
  </si>
  <si>
    <t xml:space="preserve">SMK-12</t>
  </si>
  <si>
    <t xml:space="preserve">告警机制</t>
  </si>
  <si>
    <r>
      <rPr>
        <sz val="9"/>
        <rFont val="Noto Sans CJK SC"/>
        <family val="2"/>
      </rPr>
      <t xml:space="preserve">上一版</t>
    </r>
    <r>
      <rPr>
        <sz val="9"/>
        <rFont val="Microsoft YaHei"/>
        <family val="0"/>
        <charset val="1"/>
      </rPr>
      <t xml:space="preserve">-4 </t>
    </r>
    <r>
      <rPr>
        <sz val="9"/>
        <rFont val="Noto Sans CJK SC"/>
        <family val="2"/>
      </rPr>
      <t xml:space="preserve">上报确认</t>
    </r>
  </si>
  <si>
    <r>
      <rPr>
        <sz val="9"/>
        <rFont val="Noto Sans CJK SC"/>
        <family val="2"/>
      </rPr>
      <t xml:space="preserve">可稳定复现一个告警（如 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故障）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</si>
  <si>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构造告警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平台查看告警记录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核对告警码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仓号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时间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等级</t>
    </r>
  </si>
  <si>
    <t xml:space="preserve">平台收到告警，字段正确，无重复堆积；终端本地状态一致</t>
  </si>
  <si>
    <r>
      <rPr>
        <sz val="9"/>
        <rFont val="Noto Sans CJK SC"/>
        <family val="2"/>
      </rPr>
      <t xml:space="preserve">平台告警中心、</t>
    </r>
    <r>
      <rPr>
        <sz val="9"/>
        <rFont val="Microsoft YaHei"/>
        <family val="0"/>
        <charset val="1"/>
      </rPr>
      <t xml:space="preserve">MQTT </t>
    </r>
    <r>
      <rPr>
        <sz val="9"/>
        <rFont val="Noto Sans CJK SC"/>
        <family val="2"/>
      </rPr>
      <t xml:space="preserve">报文</t>
    </r>
  </si>
  <si>
    <r>
      <rPr>
        <sz val="9"/>
        <rFont val="Microsoft YaHei"/>
        <family val="0"/>
        <charset val="1"/>
      </rPr>
      <t xml:space="preserve">ACK </t>
    </r>
    <r>
      <rPr>
        <sz val="9"/>
        <rFont val="Noto Sans CJK SC"/>
        <family val="2"/>
      </rPr>
      <t xml:space="preserve">异常分支见 </t>
    </r>
    <r>
      <rPr>
        <sz val="9"/>
        <rFont val="Microsoft YaHei"/>
        <family val="0"/>
        <charset val="1"/>
      </rPr>
      <t xml:space="preserve">SMK-19</t>
    </r>
  </si>
  <si>
    <t xml:space="preserve">SMK-13</t>
  </si>
  <si>
    <t xml:space="preserve">告警已产生并上报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</si>
  <si>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使告警恢复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查看平台告警状态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对比终端本地状态</t>
    </r>
  </si>
  <si>
    <r>
      <rPr>
        <sz val="9"/>
        <rFont val="Noto Sans CJK SC"/>
        <family val="2"/>
      </rPr>
      <t xml:space="preserve">平台告警消除，与终端一致；无“平台悬挂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本地已消”不一致</t>
    </r>
  </si>
  <si>
    <r>
      <rPr>
        <b val="true"/>
        <sz val="9"/>
        <color rgb="FFB42318"/>
        <rFont val="Microsoft YaHei"/>
        <family val="0"/>
        <charset val="1"/>
      </rPr>
      <t xml:space="preserve">ACK </t>
    </r>
    <r>
      <rPr>
        <b val="true"/>
        <sz val="9"/>
        <color rgb="FFB42318"/>
        <rFont val="Noto Sans CJK SC"/>
        <family val="2"/>
      </rPr>
      <t xml:space="preserve">丢失场景依赖 </t>
    </r>
    <r>
      <rPr>
        <b val="true"/>
        <sz val="9"/>
        <color rgb="FFB42318"/>
        <rFont val="Microsoft YaHei"/>
        <family val="0"/>
        <charset val="1"/>
      </rPr>
      <t xml:space="preserve">BL-01</t>
    </r>
  </si>
  <si>
    <t xml:space="preserve">SMK-14</t>
  </si>
  <si>
    <t xml:space="preserve">定时数据</t>
  </si>
  <si>
    <r>
      <rPr>
        <sz val="9"/>
        <rFont val="Noto Sans CJK SC"/>
        <family val="2"/>
      </rPr>
      <t xml:space="preserve">上一版</t>
    </r>
    <r>
      <rPr>
        <sz val="9"/>
        <rFont val="Microsoft YaHei"/>
        <family val="0"/>
        <charset val="1"/>
      </rPr>
      <t xml:space="preserve">-5 </t>
    </r>
    <r>
      <rPr>
        <sz val="9"/>
        <rFont val="Noto Sans CJK SC"/>
        <family val="2"/>
      </rPr>
      <t xml:space="preserve">业务静默</t>
    </r>
  </si>
  <si>
    <r>
      <rPr>
        <sz val="9"/>
        <rFont val="Noto Sans CJK SC"/>
        <family val="2"/>
      </rPr>
      <t xml:space="preserve">可抓 </t>
    </r>
    <r>
      <rPr>
        <sz val="9"/>
        <rFont val="Microsoft YaHei"/>
        <family val="0"/>
        <charset val="1"/>
      </rPr>
      <t xml:space="preserve">MQTT </t>
    </r>
    <r>
      <rPr>
        <sz val="9"/>
        <rFont val="Noto Sans CJK SC"/>
        <family val="2"/>
      </rPr>
      <t xml:space="preserve">报文；已知定时数据周期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</si>
  <si>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开始一笔完整换电业务（开门→取放电池→关门→充电启动）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全程抓包统计定时数据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业务结束后继续观察一个周期</t>
    </r>
  </si>
  <si>
    <r>
      <rPr>
        <sz val="9"/>
        <rFont val="Noto Sans CJK SC"/>
        <family val="2"/>
      </rPr>
      <t xml:space="preserve">业务窗口内无定时数据上报（告警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事件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命令应答不受影响）；业务结束后按周期恢复</t>
    </r>
  </si>
  <si>
    <r>
      <rPr>
        <sz val="9"/>
        <rFont val="Microsoft YaHei"/>
        <family val="0"/>
        <charset val="1"/>
      </rPr>
      <t xml:space="preserve">MQTT </t>
    </r>
    <r>
      <rPr>
        <sz val="9"/>
        <rFont val="Noto Sans CJK SC"/>
        <family val="2"/>
      </rPr>
      <t xml:space="preserve">抓包、终端日志</t>
    </r>
  </si>
  <si>
    <t xml:space="preserve">业务窗口边界待确认</t>
  </si>
  <si>
    <t xml:space="preserve">SMK-15</t>
  </si>
  <si>
    <t xml:space="preserve">电池升级</t>
  </si>
  <si>
    <r>
      <rPr>
        <sz val="9"/>
        <rFont val="Noto Sans CJK SC"/>
        <family val="2"/>
      </rPr>
      <t xml:space="preserve">上一版</t>
    </r>
    <r>
      <rPr>
        <sz val="9"/>
        <rFont val="Microsoft YaHei"/>
        <family val="0"/>
        <charset val="1"/>
      </rPr>
      <t xml:space="preserve">-6 </t>
    </r>
    <r>
      <rPr>
        <sz val="9"/>
        <rFont val="Noto Sans CJK SC"/>
        <family val="2"/>
      </rPr>
      <t xml:space="preserve">柜内电池升级</t>
    </r>
  </si>
  <si>
    <t xml:space="preserve">柜内有可升级电池，已获取升级包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</si>
  <si>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平台或本地发起柜内电池升级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观察升级过程与结果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查看电池版本</t>
    </r>
  </si>
  <si>
    <t xml:space="preserve">升级成功，电池版本更新为目标版本，过程状态在平台可见</t>
  </si>
  <si>
    <t xml:space="preserve">平台升级记录、电池版本、日志</t>
  </si>
  <si>
    <t xml:space="preserve">升级包版本待填</t>
  </si>
  <si>
    <t xml:space="preserve">SMK-16</t>
  </si>
  <si>
    <r>
      <rPr>
        <sz val="9"/>
        <rFont val="Noto Sans CJK SC"/>
        <family val="2"/>
      </rPr>
      <t xml:space="preserve">电池</t>
    </r>
    <r>
      <rPr>
        <sz val="9"/>
        <rFont val="Microsoft YaHei"/>
        <family val="0"/>
        <charset val="1"/>
      </rPr>
      <t xml:space="preserve">SN</t>
    </r>
  </si>
  <si>
    <r>
      <rPr>
        <sz val="9"/>
        <rFont val="Noto Sans CJK SC"/>
        <family val="2"/>
      </rPr>
      <t xml:space="preserve">上一版</t>
    </r>
    <r>
      <rPr>
        <sz val="9"/>
        <rFont val="Microsoft YaHei"/>
        <family val="0"/>
        <charset val="1"/>
      </rPr>
      <t xml:space="preserve">-7 JD</t>
    </r>
    <r>
      <rPr>
        <sz val="9"/>
        <rFont val="Noto Sans CJK SC"/>
        <family val="2"/>
      </rPr>
      <t xml:space="preserve">国标</t>
    </r>
    <r>
      <rPr>
        <sz val="9"/>
        <rFont val="Microsoft YaHei"/>
        <family val="0"/>
        <charset val="1"/>
      </rPr>
      <t xml:space="preserve">SN</t>
    </r>
  </si>
  <si>
    <r>
      <rPr>
        <sz val="9"/>
        <rFont val="Noto Sans CJK SC"/>
        <family val="2"/>
      </rPr>
      <t xml:space="preserve">准备带 </t>
    </r>
    <r>
      <rPr>
        <sz val="9"/>
        <rFont val="Microsoft YaHei"/>
        <family val="0"/>
        <charset val="1"/>
      </rPr>
      <t xml:space="preserve">SN </t>
    </r>
    <r>
      <rPr>
        <sz val="9"/>
        <rFont val="Noto Sans CJK SC"/>
        <family val="2"/>
      </rPr>
      <t xml:space="preserve">的国标电池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</si>
  <si>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将国标电池放入仓内并关门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平台查看该仓电池 </t>
    </r>
    <r>
      <rPr>
        <sz val="9"/>
        <rFont val="Microsoft YaHei"/>
        <family val="0"/>
        <charset val="1"/>
      </rPr>
      <t xml:space="preserve">SN
3. </t>
    </r>
    <r>
      <rPr>
        <sz val="9"/>
        <rFont val="Noto Sans CJK SC"/>
        <family val="2"/>
      </rPr>
      <t xml:space="preserve">换入非国标电池对比</t>
    </r>
  </si>
  <si>
    <r>
      <rPr>
        <sz val="9"/>
        <rFont val="Noto Sans CJK SC"/>
        <family val="2"/>
      </rPr>
      <t xml:space="preserve">国标电池 </t>
    </r>
    <r>
      <rPr>
        <sz val="9"/>
        <rFont val="Microsoft YaHei"/>
        <family val="0"/>
        <charset val="1"/>
      </rPr>
      <t xml:space="preserve">SN </t>
    </r>
    <r>
      <rPr>
        <sz val="9"/>
        <rFont val="Noto Sans CJK SC"/>
        <family val="2"/>
      </rPr>
      <t xml:space="preserve">正确解析并上报，与实际 </t>
    </r>
    <r>
      <rPr>
        <sz val="9"/>
        <rFont val="Microsoft YaHei"/>
        <family val="0"/>
        <charset val="1"/>
      </rPr>
      <t xml:space="preserve">SN </t>
    </r>
    <r>
      <rPr>
        <sz val="9"/>
        <rFont val="Noto Sans CJK SC"/>
        <family val="2"/>
      </rPr>
      <t xml:space="preserve">一致；非国标电池不误报</t>
    </r>
  </si>
  <si>
    <r>
      <rPr>
        <sz val="9"/>
        <rFont val="Noto Sans CJK SC"/>
        <family val="2"/>
      </rPr>
      <t xml:space="preserve">平台电池信息、</t>
    </r>
    <r>
      <rPr>
        <sz val="9"/>
        <rFont val="Microsoft YaHei"/>
        <family val="0"/>
        <charset val="1"/>
      </rPr>
      <t xml:space="preserve">485 </t>
    </r>
    <r>
      <rPr>
        <sz val="9"/>
        <rFont val="Noto Sans CJK SC"/>
        <family val="2"/>
      </rPr>
      <t xml:space="preserve">报文</t>
    </r>
  </si>
  <si>
    <r>
      <rPr>
        <sz val="9"/>
        <color rgb="FFB54708"/>
        <rFont val="Microsoft YaHei"/>
        <family val="0"/>
        <charset val="1"/>
      </rPr>
      <t xml:space="preserve">SN </t>
    </r>
    <r>
      <rPr>
        <sz val="9"/>
        <color rgb="FFB54708"/>
        <rFont val="Noto Sans CJK SC"/>
        <family val="2"/>
      </rPr>
      <t xml:space="preserve">格式待确认</t>
    </r>
  </si>
  <si>
    <t xml:space="preserve">SMK-17</t>
  </si>
  <si>
    <r>
      <rPr>
        <sz val="9"/>
        <rFont val="Noto Sans CJK SC"/>
        <family val="2"/>
      </rPr>
      <t xml:space="preserve">支持逐 </t>
    </r>
    <r>
      <rPr>
        <sz val="9"/>
        <rFont val="Microsoft YaHei"/>
        <family val="0"/>
        <charset val="1"/>
      </rPr>
      <t xml:space="preserve">bit </t>
    </r>
    <r>
      <rPr>
        <sz val="9"/>
        <rFont val="Noto Sans CJK SC"/>
        <family val="2"/>
      </rPr>
      <t xml:space="preserve">注入 </t>
    </r>
    <r>
      <rPr>
        <sz val="9"/>
        <rFont val="Microsoft YaHei"/>
        <family val="0"/>
        <charset val="1"/>
      </rPr>
      <t xml:space="preserve">bms_fault_stat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</si>
  <si>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按 </t>
    </r>
    <r>
      <rPr>
        <sz val="9"/>
        <rFont val="Microsoft YaHei"/>
        <family val="0"/>
        <charset val="1"/>
      </rPr>
      <t xml:space="preserve">bit0~bit21 </t>
    </r>
    <r>
      <rPr>
        <sz val="9"/>
        <rFont val="Noto Sans CJK SC"/>
        <family val="2"/>
      </rPr>
      <t xml:space="preserve">逐位置 </t>
    </r>
    <r>
      <rPr>
        <sz val="9"/>
        <rFont val="Microsoft YaHei"/>
        <family val="0"/>
        <charset val="1"/>
      </rPr>
      <t xml:space="preserve">1</t>
    </r>
    <r>
      <rPr>
        <sz val="9"/>
        <rFont val="Noto Sans CJK SC"/>
        <family val="2"/>
      </rPr>
      <t xml:space="preserve">（每次仅 </t>
    </r>
    <r>
      <rPr>
        <sz val="9"/>
        <rFont val="Microsoft YaHei"/>
        <family val="0"/>
        <charset val="1"/>
      </rPr>
      <t xml:space="preserve">1 </t>
    </r>
    <r>
      <rPr>
        <sz val="9"/>
        <rFont val="Noto Sans CJK SC"/>
        <family val="2"/>
      </rPr>
      <t xml:space="preserve">位）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每次观察红灯与停充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记录 </t>
    </r>
    <r>
      <rPr>
        <sz val="9"/>
        <rFont val="Microsoft YaHei"/>
        <family val="0"/>
        <charset val="1"/>
      </rPr>
      <t xml:space="preserve">22 </t>
    </r>
    <r>
      <rPr>
        <sz val="9"/>
        <rFont val="Noto Sans CJK SC"/>
        <family val="2"/>
      </rPr>
      <t xml:space="preserve">位结果</t>
    </r>
  </si>
  <si>
    <r>
      <rPr>
        <sz val="9"/>
        <rFont val="Microsoft YaHei"/>
        <family val="0"/>
        <charset val="1"/>
      </rPr>
      <t xml:space="preserve">22 </t>
    </r>
    <r>
      <rPr>
        <sz val="9"/>
        <rFont val="Noto Sans CJK SC"/>
        <family val="2"/>
      </rPr>
      <t xml:space="preserve">位逐位均触发红灯 </t>
    </r>
    <r>
      <rPr>
        <sz val="9"/>
        <rFont val="Microsoft YaHei"/>
        <family val="0"/>
        <charset val="1"/>
      </rPr>
      <t xml:space="preserve">+ </t>
    </r>
    <r>
      <rPr>
        <sz val="9"/>
        <rFont val="Noto Sans CJK SC"/>
        <family val="2"/>
      </rPr>
      <t xml:space="preserve">停充；保留位</t>
    </r>
    <r>
      <rPr>
        <sz val="9"/>
        <rFont val="Microsoft YaHei"/>
        <family val="0"/>
        <charset val="1"/>
      </rPr>
      <t xml:space="preserve">/bit22 </t>
    </r>
    <r>
      <rPr>
        <sz val="9"/>
        <rFont val="Noto Sans CJK SC"/>
        <family val="2"/>
      </rPr>
      <t xml:space="preserve">以上不影响</t>
    </r>
  </si>
  <si>
    <r>
      <rPr>
        <b val="true"/>
        <sz val="9"/>
        <color rgb="FFB42318"/>
        <rFont val="Noto Sans CJK SC"/>
        <family val="2"/>
      </rPr>
      <t xml:space="preserve">依赖 </t>
    </r>
    <r>
      <rPr>
        <b val="true"/>
        <sz val="9"/>
        <color rgb="FFB42318"/>
        <rFont val="Microsoft YaHei"/>
        <family val="0"/>
        <charset val="1"/>
      </rPr>
      <t xml:space="preserve">BL-04</t>
    </r>
    <r>
      <rPr>
        <b val="true"/>
        <sz val="9"/>
        <color rgb="FFB42318"/>
        <rFont val="Noto Sans CJK SC"/>
        <family val="2"/>
      </rPr>
      <t xml:space="preserve">；无逐位能力时降级抽样</t>
    </r>
  </si>
  <si>
    <t xml:space="preserve">SMK-18</t>
  </si>
  <si>
    <r>
      <rPr>
        <sz val="9"/>
        <rFont val="Noto Sans CJK SC"/>
        <family val="2"/>
      </rPr>
      <t xml:space="preserve">存在未恢复告警（如 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故障）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</si>
  <si>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重启终端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查看告警与平台状态</t>
    </r>
  </si>
  <si>
    <t xml:space="preserve">重启后告警仍存在，与平台一致，不丢失、不重复</t>
  </si>
  <si>
    <t xml:space="preserve">SMK-19</t>
  </si>
  <si>
    <t xml:space="preserve">异常</t>
  </si>
  <si>
    <r>
      <rPr>
        <sz val="9"/>
        <rFont val="Microsoft YaHei"/>
        <family val="0"/>
        <charset val="1"/>
      </rPr>
      <t xml:space="preserve">broker </t>
    </r>
    <r>
      <rPr>
        <sz val="9"/>
        <rFont val="Noto Sans CJK SC"/>
        <family val="2"/>
      </rPr>
      <t xml:space="preserve">可丢 </t>
    </r>
    <r>
      <rPr>
        <sz val="9"/>
        <rFont val="Microsoft YaHei"/>
        <family val="0"/>
        <charset val="1"/>
      </rPr>
      <t xml:space="preserve">ACK/</t>
    </r>
    <r>
      <rPr>
        <sz val="9"/>
        <rFont val="Noto Sans CJK SC"/>
        <family val="2"/>
      </rPr>
      <t xml:space="preserve">延迟（当前不具备）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</si>
  <si>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产生告警并丢弃 </t>
    </r>
    <r>
      <rPr>
        <sz val="9"/>
        <rFont val="Microsoft YaHei"/>
        <family val="0"/>
        <charset val="1"/>
      </rPr>
      <t xml:space="preserve">ACK
2. </t>
    </r>
    <r>
      <rPr>
        <sz val="9"/>
        <rFont val="Noto Sans CJK SC"/>
        <family val="2"/>
      </rPr>
      <t xml:space="preserve">观察终端重试与最终一致性</t>
    </r>
  </si>
  <si>
    <t xml:space="preserve">终端按策略重试直至确认，平台最终一致且无重复告警</t>
  </si>
  <si>
    <r>
      <rPr>
        <sz val="9"/>
        <rFont val="Microsoft YaHei"/>
        <family val="0"/>
        <charset val="1"/>
      </rPr>
      <t xml:space="preserve">broker </t>
    </r>
    <r>
      <rPr>
        <sz val="9"/>
        <rFont val="Noto Sans CJK SC"/>
        <family val="2"/>
      </rPr>
      <t xml:space="preserve">日志、终端日志</t>
    </r>
  </si>
  <si>
    <r>
      <rPr>
        <b val="true"/>
        <sz val="9"/>
        <color rgb="FFB42318"/>
        <rFont val="Noto Sans CJK SC"/>
        <family val="2"/>
      </rPr>
      <t xml:space="preserve">依赖 </t>
    </r>
    <r>
      <rPr>
        <b val="true"/>
        <sz val="9"/>
        <color rgb="FFB42318"/>
        <rFont val="Microsoft YaHei"/>
        <family val="0"/>
        <charset val="1"/>
      </rPr>
      <t xml:space="preserve">BL-01</t>
    </r>
    <r>
      <rPr>
        <b val="true"/>
        <sz val="9"/>
        <color rgb="FFB42318"/>
        <rFont val="Noto Sans CJK SC"/>
        <family val="2"/>
      </rPr>
      <t xml:space="preserve">，当前不可执行</t>
    </r>
  </si>
  <si>
    <t xml:space="preserve">NEW-01</t>
  </si>
  <si>
    <t xml:space="preserve">仓控板</t>
  </si>
  <si>
    <r>
      <rPr>
        <sz val="9"/>
        <rFont val="Noto Sans CJK SC"/>
        <family val="2"/>
      </rPr>
      <t xml:space="preserve">本次</t>
    </r>
    <r>
      <rPr>
        <sz val="9"/>
        <rFont val="Microsoft YaHei"/>
        <family val="0"/>
        <charset val="1"/>
      </rPr>
      <t xml:space="preserve">-</t>
    </r>
    <r>
      <rPr>
        <sz val="9"/>
        <rFont val="Noto Sans CJK SC"/>
        <family val="2"/>
      </rPr>
      <t xml:space="preserve">仓控板</t>
    </r>
    <r>
      <rPr>
        <sz val="9"/>
        <rFont val="Microsoft YaHei"/>
        <family val="0"/>
        <charset val="1"/>
      </rPr>
      <t xml:space="preserve">-1 </t>
    </r>
    <r>
      <rPr>
        <sz val="9"/>
        <rFont val="Noto Sans CJK SC"/>
        <family val="2"/>
      </rPr>
      <t xml:space="preserve">检测</t>
    </r>
    <r>
      <rPr>
        <sz val="9"/>
        <rFont val="Microsoft YaHei"/>
        <family val="0"/>
        <charset val="1"/>
      </rPr>
      <t xml:space="preserve">5</t>
    </r>
    <r>
      <rPr>
        <sz val="9"/>
        <rFont val="Noto Sans CJK SC"/>
        <family val="2"/>
      </rPr>
      <t xml:space="preserve">次</t>
    </r>
  </si>
  <si>
    <t xml:space="preserve">功能</t>
  </si>
  <si>
    <r>
      <rPr>
        <sz val="9"/>
        <rFont val="Noto Sans CJK SC"/>
        <family val="2"/>
      </rPr>
      <t xml:space="preserve">仓内有电池且已关门；可观察仓控板检测计数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日志；可取出电池模拟丢失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</si>
  <si>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关门后取出电池（或断开 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通信），使检测连续丢失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记录丢失次数达到 </t>
    </r>
    <r>
      <rPr>
        <sz val="9"/>
        <rFont val="Microsoft YaHei"/>
        <family val="0"/>
        <charset val="1"/>
      </rPr>
      <t xml:space="preserve">5 </t>
    </r>
    <r>
      <rPr>
        <sz val="9"/>
        <rFont val="Noto Sans CJK SC"/>
        <family val="2"/>
      </rPr>
      <t xml:space="preserve">次时的判定结果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查看平台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本地状态</t>
    </r>
  </si>
  <si>
    <r>
      <rPr>
        <sz val="9"/>
        <rFont val="Noto Sans CJK SC"/>
        <family val="2"/>
      </rPr>
      <t xml:space="preserve">连续丢失 </t>
    </r>
    <r>
      <rPr>
        <sz val="9"/>
        <rFont val="Microsoft YaHei"/>
        <family val="0"/>
        <charset val="1"/>
      </rPr>
      <t xml:space="preserve">5 </t>
    </r>
    <r>
      <rPr>
        <sz val="9"/>
        <rFont val="Noto Sans CJK SC"/>
        <family val="2"/>
      </rPr>
      <t xml:space="preserve">次后判定“电池丢失”，产生对应事件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告警并上报平台（字段按规格）</t>
    </r>
  </si>
  <si>
    <t xml:space="preserve">仓控板日志、平台事件、指示灯</t>
  </si>
  <si>
    <r>
      <rPr>
        <sz val="9"/>
        <color rgb="FFB54708"/>
        <rFont val="Noto Sans CJK SC"/>
        <family val="2"/>
      </rPr>
      <t xml:space="preserve">判定结果与上报字段待确认；</t>
    </r>
    <r>
      <rPr>
        <sz val="9"/>
        <color rgb="FFB54708"/>
        <rFont val="Microsoft YaHei"/>
        <family val="0"/>
        <charset val="1"/>
      </rPr>
      <t xml:space="preserve">AS-01</t>
    </r>
  </si>
  <si>
    <t xml:space="preserve">NEW-02</t>
  </si>
  <si>
    <t xml:space="preserve">边界</t>
  </si>
  <si>
    <t xml:space="preserve">同上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</si>
  <si>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使检测连续丢失 </t>
    </r>
    <r>
      <rPr>
        <sz val="9"/>
        <rFont val="Microsoft YaHei"/>
        <family val="0"/>
        <charset val="1"/>
      </rPr>
      <t xml:space="preserve">4 </t>
    </r>
    <r>
      <rPr>
        <sz val="9"/>
        <rFont val="Noto Sans CJK SC"/>
        <family val="2"/>
      </rPr>
      <t xml:space="preserve">次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恢复电池识别（重新放入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恢复通信）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观察是否判定丢失</t>
    </r>
  </si>
  <si>
    <t xml:space="preserve">不判定丢失，计数清零，无丢失告警</t>
  </si>
  <si>
    <t xml:space="preserve">仓控板日志、平台</t>
  </si>
  <si>
    <t xml:space="preserve">NEW-03</t>
  </si>
  <si>
    <r>
      <rPr>
        <sz val="9"/>
        <rFont val="Noto Sans CJK SC"/>
        <family val="2"/>
      </rPr>
      <t xml:space="preserve">已触发 </t>
    </r>
    <r>
      <rPr>
        <sz val="9"/>
        <rFont val="Microsoft YaHei"/>
        <family val="0"/>
        <charset val="1"/>
      </rPr>
      <t xml:space="preserve">5 </t>
    </r>
    <r>
      <rPr>
        <sz val="9"/>
        <rFont val="Noto Sans CJK SC"/>
        <family val="2"/>
      </rPr>
      <t xml:space="preserve">次丢失判定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</si>
  <si>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开门重新放入电池并关门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观察丢失状态与充电</t>
    </r>
  </si>
  <si>
    <t xml:space="preserve">重新识别后丢失状态解除，可正常充电，平台状态同步</t>
  </si>
  <si>
    <t xml:space="preserve">平台、指示灯、电流</t>
  </si>
  <si>
    <t xml:space="preserve">NEW-04</t>
  </si>
  <si>
    <r>
      <rPr>
        <sz val="9"/>
        <rFont val="Noto Sans CJK SC"/>
        <family val="2"/>
      </rPr>
      <t xml:space="preserve">可重启仓控板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终端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</si>
  <si>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制造丢失 </t>
    </r>
    <r>
      <rPr>
        <sz val="9"/>
        <rFont val="Microsoft YaHei"/>
        <family val="0"/>
        <charset val="1"/>
      </rPr>
      <t xml:space="preserve">4 </t>
    </r>
    <r>
      <rPr>
        <sz val="9"/>
        <rFont val="Noto Sans CJK SC"/>
        <family val="2"/>
      </rPr>
      <t xml:space="preserve">次（未达阈值）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重启仓控板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终端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再丢失 </t>
    </r>
    <r>
      <rPr>
        <sz val="9"/>
        <rFont val="Microsoft YaHei"/>
        <family val="0"/>
        <charset val="1"/>
      </rPr>
      <t xml:space="preserve">1 </t>
    </r>
    <r>
      <rPr>
        <sz val="9"/>
        <rFont val="Noto Sans CJK SC"/>
        <family val="2"/>
      </rPr>
      <t xml:space="preserve">次，观察是否判定</t>
    </r>
  </si>
  <si>
    <r>
      <rPr>
        <sz val="9"/>
        <rFont val="Noto Sans CJK SC"/>
        <family val="2"/>
      </rPr>
      <t xml:space="preserve">按规格执行：计数清零则需再满 </t>
    </r>
    <r>
      <rPr>
        <sz val="9"/>
        <rFont val="Microsoft YaHei"/>
        <family val="0"/>
        <charset val="1"/>
      </rPr>
      <t xml:space="preserve">5 </t>
    </r>
    <r>
      <rPr>
        <sz val="9"/>
        <rFont val="Noto Sans CJK SC"/>
        <family val="2"/>
      </rPr>
      <t xml:space="preserve">次才判定；计数保留则第 </t>
    </r>
    <r>
      <rPr>
        <sz val="9"/>
        <rFont val="Microsoft YaHei"/>
        <family val="0"/>
        <charset val="1"/>
      </rPr>
      <t xml:space="preserve">5 </t>
    </r>
    <r>
      <rPr>
        <sz val="9"/>
        <rFont val="Noto Sans CJK SC"/>
        <family val="2"/>
      </rPr>
      <t xml:space="preserve">次判定。记录实际行为</t>
    </r>
  </si>
  <si>
    <t xml:space="preserve">仓控板日志</t>
  </si>
  <si>
    <t xml:space="preserve">计数是否持久化待确认</t>
  </si>
  <si>
    <t xml:space="preserve">NEW-05</t>
  </si>
  <si>
    <r>
      <rPr>
        <sz val="9"/>
        <rFont val="Noto Sans CJK SC"/>
        <family val="2"/>
      </rPr>
      <t xml:space="preserve">可开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关维护门，仓内可无电池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</si>
  <si>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开门状态取出电池，保持开门观察是否启动检测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关门，观察检测是否启动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观察丢失判定时机</t>
    </r>
  </si>
  <si>
    <t xml:space="preserve">仅关门后启动电池检测；开门状态不误判电池丢失</t>
  </si>
  <si>
    <t xml:space="preserve">仓控板日志、门磁状态</t>
  </si>
  <si>
    <t xml:space="preserve">与门磁状态机联动待确认</t>
  </si>
  <si>
    <t xml:space="preserve">NEW-06</t>
  </si>
  <si>
    <t xml:space="preserve">可记录精确时间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</si>
  <si>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记录第 </t>
    </r>
    <r>
      <rPr>
        <sz val="9"/>
        <rFont val="Microsoft YaHei"/>
        <family val="0"/>
        <charset val="1"/>
      </rPr>
      <t xml:space="preserve">4 </t>
    </r>
    <r>
      <rPr>
        <sz val="9"/>
        <rFont val="Noto Sans CJK SC"/>
        <family val="2"/>
      </rPr>
      <t xml:space="preserve">次与第 </t>
    </r>
    <r>
      <rPr>
        <sz val="9"/>
        <rFont val="Microsoft YaHei"/>
        <family val="0"/>
        <charset val="1"/>
      </rPr>
      <t xml:space="preserve">5 </t>
    </r>
    <r>
      <rPr>
        <sz val="9"/>
        <rFont val="Noto Sans CJK SC"/>
        <family val="2"/>
      </rPr>
      <t xml:space="preserve">次丢失的时间点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记录判定发生时间</t>
    </r>
  </si>
  <si>
    <r>
      <rPr>
        <sz val="9"/>
        <rFont val="Noto Sans CJK SC"/>
        <family val="2"/>
      </rPr>
      <t xml:space="preserve">判定发生在第 </t>
    </r>
    <r>
      <rPr>
        <sz val="9"/>
        <rFont val="Microsoft YaHei"/>
        <family val="0"/>
        <charset val="1"/>
      </rPr>
      <t xml:space="preserve">5 </t>
    </r>
    <r>
      <rPr>
        <sz val="9"/>
        <rFont val="Noto Sans CJK SC"/>
        <family val="2"/>
      </rPr>
      <t xml:space="preserve">次丢失时，延迟符合采样周期，可反推采样间隔</t>
    </r>
  </si>
  <si>
    <t xml:space="preserve">仓控板日志、秒表</t>
  </si>
  <si>
    <t xml:space="preserve">用于确认采样周期</t>
  </si>
  <si>
    <t xml:space="preserve">NEW-07</t>
  </si>
  <si>
    <t xml:space="preserve">固件升级</t>
  </si>
  <si>
    <r>
      <rPr>
        <sz val="9"/>
        <rFont val="Noto Sans CJK SC"/>
        <family val="2"/>
      </rPr>
      <t xml:space="preserve">本次</t>
    </r>
    <r>
      <rPr>
        <sz val="9"/>
        <rFont val="Microsoft YaHei"/>
        <family val="0"/>
        <charset val="1"/>
      </rPr>
      <t xml:space="preserve">-</t>
    </r>
    <r>
      <rPr>
        <sz val="9"/>
        <rFont val="Noto Sans CJK SC"/>
        <family val="2"/>
      </rPr>
      <t xml:space="preserve">新功能</t>
    </r>
    <r>
      <rPr>
        <sz val="9"/>
        <rFont val="Microsoft YaHei"/>
        <family val="0"/>
        <charset val="1"/>
      </rPr>
      <t xml:space="preserve">-1 </t>
    </r>
    <r>
      <rPr>
        <sz val="9"/>
        <rFont val="Noto Sans CJK SC"/>
        <family val="2"/>
      </rPr>
      <t xml:space="preserve">忽略告警</t>
    </r>
  </si>
  <si>
    <r>
      <rPr>
        <sz val="9"/>
        <rFont val="Noto Sans CJK SC"/>
        <family val="2"/>
      </rPr>
      <t xml:space="preserve">可稳定触发告警 </t>
    </r>
    <r>
      <rPr>
        <sz val="9"/>
        <rFont val="Microsoft YaHei"/>
        <family val="0"/>
        <charset val="1"/>
      </rPr>
      <t xml:space="preserve">51</t>
    </r>
    <r>
      <rPr>
        <sz val="9"/>
        <rFont val="Noto Sans CJK SC"/>
        <family val="2"/>
      </rPr>
      <t xml:space="preserve">；可发起固件升级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</si>
  <si>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发起固件升级，确认进入升级窗口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升级期间触发告警 </t>
    </r>
    <r>
      <rPr>
        <sz val="9"/>
        <rFont val="Microsoft YaHei"/>
        <family val="0"/>
        <charset val="1"/>
      </rPr>
      <t xml:space="preserve">51
3. </t>
    </r>
    <r>
      <rPr>
        <sz val="9"/>
        <rFont val="Noto Sans CJK SC"/>
        <family val="2"/>
      </rPr>
      <t xml:space="preserve">观察本地与平台表现
</t>
    </r>
    <r>
      <rPr>
        <sz val="9"/>
        <rFont val="Microsoft YaHei"/>
        <family val="0"/>
        <charset val="1"/>
      </rPr>
      <t xml:space="preserve">4. </t>
    </r>
    <r>
      <rPr>
        <sz val="9"/>
        <rFont val="Noto Sans CJK SC"/>
        <family val="2"/>
      </rPr>
      <t xml:space="preserve">升级结束后继续观察</t>
    </r>
  </si>
  <si>
    <r>
      <rPr>
        <sz val="9"/>
        <rFont val="Noto Sans CJK SC"/>
        <family val="2"/>
      </rPr>
      <t xml:space="preserve">升级期间不产生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不上报 </t>
    </r>
    <r>
      <rPr>
        <sz val="9"/>
        <rFont val="Microsoft YaHei"/>
        <family val="0"/>
        <charset val="1"/>
      </rPr>
      <t xml:space="preserve">51</t>
    </r>
    <r>
      <rPr>
        <sz val="9"/>
        <rFont val="Noto Sans CJK SC"/>
        <family val="2"/>
      </rPr>
      <t xml:space="preserve">；本地灯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蜂鸣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停充按确认策略；升级结束后按实际状态处理，无平台悬挂</t>
    </r>
  </si>
  <si>
    <t xml:space="preserve">平台告警、终端日志、指示灯</t>
  </si>
  <si>
    <r>
      <rPr>
        <b val="true"/>
        <sz val="9"/>
        <color rgb="FFB42318"/>
        <rFont val="Noto Sans CJK SC"/>
        <family val="2"/>
      </rPr>
      <t xml:space="preserve">触发依赖 </t>
    </r>
    <r>
      <rPr>
        <b val="true"/>
        <sz val="9"/>
        <color rgb="FFB42318"/>
        <rFont val="Microsoft YaHei"/>
        <family val="0"/>
        <charset val="1"/>
      </rPr>
      <t xml:space="preserve">BL-02</t>
    </r>
    <r>
      <rPr>
        <b val="true"/>
        <sz val="9"/>
        <color rgb="FFB42318"/>
        <rFont val="Noto Sans CJK SC"/>
        <family val="2"/>
      </rPr>
      <t xml:space="preserve">；忽略范围待确认；</t>
    </r>
    <r>
      <rPr>
        <b val="true"/>
        <sz val="9"/>
        <color rgb="FFB42318"/>
        <rFont val="Microsoft YaHei"/>
        <family val="0"/>
        <charset val="1"/>
      </rPr>
      <t xml:space="preserve">AS-02/AS-12</t>
    </r>
  </si>
  <si>
    <t xml:space="preserve">NEW-08</t>
  </si>
  <si>
    <r>
      <rPr>
        <sz val="9"/>
        <rFont val="Noto Sans CJK SC"/>
        <family val="2"/>
      </rPr>
      <t xml:space="preserve">可稳定触发告警 </t>
    </r>
    <r>
      <rPr>
        <sz val="9"/>
        <rFont val="Microsoft YaHei"/>
        <family val="0"/>
        <charset val="1"/>
      </rPr>
      <t xml:space="preserve">54</t>
    </r>
    <r>
      <rPr>
        <sz val="9"/>
        <rFont val="Noto Sans CJK SC"/>
        <family val="2"/>
      </rPr>
      <t xml:space="preserve">；可发起固件升级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</si>
  <si>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发起固件升级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升级期间触发告警 </t>
    </r>
    <r>
      <rPr>
        <sz val="9"/>
        <rFont val="Microsoft YaHei"/>
        <family val="0"/>
        <charset val="1"/>
      </rPr>
      <t xml:space="preserve">54
3. </t>
    </r>
    <r>
      <rPr>
        <sz val="9"/>
        <rFont val="Noto Sans CJK SC"/>
        <family val="2"/>
      </rPr>
      <t xml:space="preserve">观察本地与平台
</t>
    </r>
    <r>
      <rPr>
        <sz val="9"/>
        <rFont val="Microsoft YaHei"/>
        <family val="0"/>
        <charset val="1"/>
      </rPr>
      <t xml:space="preserve">4. </t>
    </r>
    <r>
      <rPr>
        <sz val="9"/>
        <rFont val="Noto Sans CJK SC"/>
        <family val="2"/>
      </rPr>
      <t xml:space="preserve">升级结束后观察</t>
    </r>
  </si>
  <si>
    <r>
      <rPr>
        <sz val="9"/>
        <rFont val="Noto Sans CJK SC"/>
        <family val="2"/>
      </rPr>
      <t xml:space="preserve">升级期间不产生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不上报 </t>
    </r>
    <r>
      <rPr>
        <sz val="9"/>
        <rFont val="Microsoft YaHei"/>
        <family val="0"/>
        <charset val="1"/>
      </rPr>
      <t xml:space="preserve">54</t>
    </r>
    <r>
      <rPr>
        <sz val="9"/>
        <rFont val="Noto Sans CJK SC"/>
        <family val="2"/>
      </rPr>
      <t xml:space="preserve">；结束后按实际状态处理</t>
    </r>
  </si>
  <si>
    <t xml:space="preserve">平台告警、终端日志</t>
  </si>
  <si>
    <r>
      <rPr>
        <sz val="9"/>
        <rFont val="Noto Sans CJK SC"/>
        <family val="2"/>
      </rPr>
      <t xml:space="preserve">同 </t>
    </r>
    <r>
      <rPr>
        <sz val="9"/>
        <rFont val="Microsoft YaHei"/>
        <family val="0"/>
        <charset val="1"/>
      </rPr>
      <t xml:space="preserve">NEW-07</t>
    </r>
  </si>
  <si>
    <t xml:space="preserve">NEW-09</t>
  </si>
  <si>
    <r>
      <rPr>
        <sz val="9"/>
        <rFont val="Noto Sans CJK SC"/>
        <family val="2"/>
      </rPr>
      <t xml:space="preserve">可稳定触发告警 </t>
    </r>
    <r>
      <rPr>
        <sz val="9"/>
        <rFont val="Microsoft YaHei"/>
        <family val="0"/>
        <charset val="1"/>
      </rPr>
      <t xml:space="preserve">102</t>
    </r>
    <r>
      <rPr>
        <sz val="9"/>
        <rFont val="Noto Sans CJK SC"/>
        <family val="2"/>
      </rPr>
      <t xml:space="preserve">；可发起固件升级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</si>
  <si>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发起固件升级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升级期间触发告警 </t>
    </r>
    <r>
      <rPr>
        <sz val="9"/>
        <rFont val="Microsoft YaHei"/>
        <family val="0"/>
        <charset val="1"/>
      </rPr>
      <t xml:space="preserve">102
3. </t>
    </r>
    <r>
      <rPr>
        <sz val="9"/>
        <rFont val="Noto Sans CJK SC"/>
        <family val="2"/>
      </rPr>
      <t xml:space="preserve">观察本地与平台
</t>
    </r>
    <r>
      <rPr>
        <sz val="9"/>
        <rFont val="Microsoft YaHei"/>
        <family val="0"/>
        <charset val="1"/>
      </rPr>
      <t xml:space="preserve">4. </t>
    </r>
    <r>
      <rPr>
        <sz val="9"/>
        <rFont val="Noto Sans CJK SC"/>
        <family val="2"/>
      </rPr>
      <t xml:space="preserve">升级结束后观察</t>
    </r>
  </si>
  <si>
    <r>
      <rPr>
        <sz val="9"/>
        <rFont val="Noto Sans CJK SC"/>
        <family val="2"/>
      </rPr>
      <t xml:space="preserve">升级期间不产生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不上报 </t>
    </r>
    <r>
      <rPr>
        <sz val="9"/>
        <rFont val="Microsoft YaHei"/>
        <family val="0"/>
        <charset val="1"/>
      </rPr>
      <t xml:space="preserve">102</t>
    </r>
    <r>
      <rPr>
        <sz val="9"/>
        <rFont val="Noto Sans CJK SC"/>
        <family val="2"/>
      </rPr>
      <t xml:space="preserve">；结束后按实际状态处理</t>
    </r>
  </si>
  <si>
    <t xml:space="preserve">NEW-10</t>
  </si>
  <si>
    <r>
      <rPr>
        <sz val="9"/>
        <rFont val="Noto Sans CJK SC"/>
        <family val="2"/>
      </rPr>
      <t xml:space="preserve">可触发非 </t>
    </r>
    <r>
      <rPr>
        <sz val="9"/>
        <rFont val="Microsoft YaHei"/>
        <family val="0"/>
        <charset val="1"/>
      </rPr>
      <t xml:space="preserve">51/54/102 </t>
    </r>
    <r>
      <rPr>
        <sz val="9"/>
        <rFont val="Noto Sans CJK SC"/>
        <family val="2"/>
      </rPr>
      <t xml:space="preserve">告警（如 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故障、告警 </t>
    </r>
    <r>
      <rPr>
        <sz val="9"/>
        <rFont val="Microsoft YaHei"/>
        <family val="0"/>
        <charset val="1"/>
      </rPr>
      <t xml:space="preserve">55</t>
    </r>
    <r>
      <rPr>
        <sz val="9"/>
        <rFont val="Noto Sans CJK SC"/>
        <family val="2"/>
      </rPr>
      <t xml:space="preserve">）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</si>
  <si>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发起固件升级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升级期间触发其他告警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观察平台</t>
    </r>
  </si>
  <si>
    <t xml:space="preserve">其他告警正常产生并上报，不被抑制</t>
  </si>
  <si>
    <t xml:space="preserve">平台告警、日志</t>
  </si>
  <si>
    <t xml:space="preserve">NEW-11</t>
  </si>
  <si>
    <r>
      <rPr>
        <sz val="9"/>
        <rFont val="Noto Sans CJK SC"/>
        <family val="2"/>
      </rPr>
      <t xml:space="preserve">升级前已存在 </t>
    </r>
    <r>
      <rPr>
        <sz val="9"/>
        <rFont val="Microsoft YaHei"/>
        <family val="0"/>
        <charset val="1"/>
      </rPr>
      <t xml:space="preserve">51/54/102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</si>
  <si>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使 </t>
    </r>
    <r>
      <rPr>
        <sz val="9"/>
        <rFont val="Microsoft YaHei"/>
        <family val="0"/>
        <charset val="1"/>
      </rPr>
      <t xml:space="preserve">51/54/102 </t>
    </r>
    <r>
      <rPr>
        <sz val="9"/>
        <rFont val="Noto Sans CJK SC"/>
        <family val="2"/>
      </rPr>
      <t xml:space="preserve">在升级前存在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发起升级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查看升级期间平台告警</t>
    </r>
  </si>
  <si>
    <r>
      <rPr>
        <sz val="9"/>
        <rFont val="Noto Sans CJK SC"/>
        <family val="2"/>
      </rPr>
      <t xml:space="preserve">按确认策略执行（抑制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清除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照常），且不产生平台告警悬挂</t>
    </r>
  </si>
  <si>
    <r>
      <rPr>
        <sz val="9"/>
        <color rgb="FFB54708"/>
        <rFont val="Noto Sans CJK SC"/>
        <family val="2"/>
      </rPr>
      <t xml:space="preserve">策略待确认；</t>
    </r>
    <r>
      <rPr>
        <sz val="9"/>
        <color rgb="FFB54708"/>
        <rFont val="Microsoft YaHei"/>
        <family val="0"/>
        <charset val="1"/>
      </rPr>
      <t xml:space="preserve">AS-12</t>
    </r>
  </si>
  <si>
    <t xml:space="preserve">NEW-12</t>
  </si>
  <si>
    <r>
      <rPr>
        <sz val="9"/>
        <rFont val="Noto Sans CJK SC"/>
        <family val="2"/>
      </rPr>
      <t xml:space="preserve">升级期间触发并保持告警 </t>
    </r>
    <r>
      <rPr>
        <sz val="9"/>
        <rFont val="Microsoft YaHei"/>
        <family val="0"/>
        <charset val="1"/>
      </rPr>
      <t xml:space="preserve">51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</si>
  <si>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升级期间触发 </t>
    </r>
    <r>
      <rPr>
        <sz val="9"/>
        <rFont val="Microsoft YaHei"/>
        <family val="0"/>
        <charset val="1"/>
      </rPr>
      <t xml:space="preserve">51 </t>
    </r>
    <r>
      <rPr>
        <sz val="9"/>
        <rFont val="Noto Sans CJK SC"/>
        <family val="2"/>
      </rPr>
      <t xml:space="preserve">并保持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升级成功结束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观察告警是否补报</t>
    </r>
  </si>
  <si>
    <r>
      <rPr>
        <sz val="9"/>
        <rFont val="Noto Sans CJK SC"/>
        <family val="2"/>
      </rPr>
      <t xml:space="preserve">升级结束后按实际状态补报 </t>
    </r>
    <r>
      <rPr>
        <sz val="9"/>
        <rFont val="Microsoft YaHei"/>
        <family val="0"/>
        <charset val="1"/>
      </rPr>
      <t xml:space="preserve">51</t>
    </r>
    <r>
      <rPr>
        <sz val="9"/>
        <rFont val="Noto Sans CJK SC"/>
        <family val="2"/>
      </rPr>
      <t xml:space="preserve">（若仍存在），或保持消除，二者与真实状态一致</t>
    </r>
  </si>
  <si>
    <t xml:space="preserve">补报策略待确认</t>
  </si>
  <si>
    <t xml:space="preserve">NEW-13</t>
  </si>
  <si>
    <r>
      <rPr>
        <sz val="9"/>
        <rFont val="Noto Sans CJK SC"/>
        <family val="2"/>
      </rPr>
      <t xml:space="preserve">可构造升级失败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超时，期间有被抑制告警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</si>
  <si>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构造升级失败或超时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退出升级窗口后查看告警</t>
    </r>
  </si>
  <si>
    <t xml:space="preserve">告警状态与真实一致，无丢失、无悬挂</t>
  </si>
  <si>
    <t xml:space="preserve">平台告警、升级日志</t>
  </si>
  <si>
    <t xml:space="preserve">NEW-14</t>
  </si>
  <si>
    <t xml:space="preserve">升级中可断电重启，期间有被抑制告警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</si>
  <si>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升级进行中断电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重新上电启动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查看升级状态与告警</t>
    </r>
  </si>
  <si>
    <r>
      <rPr>
        <sz val="9"/>
        <rFont val="Noto Sans CJK SC"/>
        <family val="2"/>
      </rPr>
      <t xml:space="preserve">重启后升级状态正确（续传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重来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失败），告警按实际补报，无悬挂</t>
    </r>
  </si>
  <si>
    <t xml:space="preserve">NEW-15</t>
  </si>
  <si>
    <t xml:space="preserve">可发起柜内电池升级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</si>
  <si>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电池升级期间触发 </t>
    </r>
    <r>
      <rPr>
        <sz val="9"/>
        <rFont val="Microsoft YaHei"/>
        <family val="0"/>
        <charset val="1"/>
      </rPr>
      <t xml:space="preserve">51/54/102
2. </t>
    </r>
    <r>
      <rPr>
        <sz val="9"/>
        <rFont val="Noto Sans CJK SC"/>
        <family val="2"/>
      </rPr>
      <t xml:space="preserve">观察是否同样忽略</t>
    </r>
  </si>
  <si>
    <t xml:space="preserve">按规格执行；记录电池升级是否适用同一抑制逻辑</t>
  </si>
  <si>
    <t xml:space="preserve">适用范围待确认</t>
  </si>
  <si>
    <t xml:space="preserve">NEW-16</t>
  </si>
  <si>
    <r>
      <rPr>
        <sz val="9"/>
        <rFont val="Noto Sans CJK SC"/>
        <family val="2"/>
      </rPr>
      <t xml:space="preserve">本次</t>
    </r>
    <r>
      <rPr>
        <sz val="9"/>
        <rFont val="Microsoft YaHei"/>
        <family val="0"/>
        <charset val="1"/>
      </rPr>
      <t xml:space="preserve">-</t>
    </r>
    <r>
      <rPr>
        <sz val="9"/>
        <rFont val="Noto Sans CJK SC"/>
        <family val="2"/>
      </rPr>
      <t xml:space="preserve">新功能</t>
    </r>
    <r>
      <rPr>
        <sz val="9"/>
        <rFont val="Microsoft YaHei"/>
        <family val="0"/>
        <charset val="1"/>
      </rPr>
      <t xml:space="preserve">-2 E55</t>
    </r>
    <r>
      <rPr>
        <sz val="9"/>
        <rFont val="Noto Sans CJK SC"/>
        <family val="2"/>
      </rPr>
      <t xml:space="preserve">逻辑</t>
    </r>
  </si>
  <si>
    <r>
      <rPr>
        <sz val="9"/>
        <rFont val="Noto Sans CJK SC"/>
        <family val="2"/>
      </rPr>
      <t xml:space="preserve">单仓充电，命令电流 </t>
    </r>
    <r>
      <rPr>
        <sz val="9"/>
        <rFont val="Microsoft YaHei"/>
        <family val="0"/>
        <charset val="1"/>
      </rPr>
      <t xml:space="preserve">&gt; 0</t>
    </r>
    <r>
      <rPr>
        <sz val="9"/>
        <rFont val="Noto Sans CJK SC"/>
        <family val="2"/>
      </rPr>
      <t xml:space="preserve">，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保持不变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</si>
  <si>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保持命令电流 </t>
    </r>
    <r>
      <rPr>
        <sz val="9"/>
        <rFont val="Microsoft YaHei"/>
        <family val="0"/>
        <charset val="1"/>
      </rPr>
      <t xml:space="preserve">&gt; 0
2. </t>
    </r>
    <r>
      <rPr>
        <sz val="9"/>
        <rFont val="Noto Sans CJK SC"/>
        <family val="2"/>
      </rPr>
      <t xml:space="preserve">使 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连续 </t>
    </r>
    <r>
      <rPr>
        <sz val="9"/>
        <rFont val="Microsoft YaHei"/>
        <family val="0"/>
        <charset val="1"/>
      </rPr>
      <t xml:space="preserve">30 </t>
    </r>
    <r>
      <rPr>
        <sz val="9"/>
        <rFont val="Noto Sans CJK SC"/>
        <family val="2"/>
      </rPr>
      <t xml:space="preserve">分钟无变化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观察告警</t>
    </r>
  </si>
  <si>
    <r>
      <rPr>
        <sz val="9"/>
        <rFont val="Noto Sans CJK SC"/>
        <family val="2"/>
      </rPr>
      <t xml:space="preserve">累计满 </t>
    </r>
    <r>
      <rPr>
        <sz val="9"/>
        <rFont val="Microsoft YaHei"/>
        <family val="0"/>
        <charset val="1"/>
      </rPr>
      <t xml:space="preserve">30 </t>
    </r>
    <r>
      <rPr>
        <sz val="9"/>
        <rFont val="Noto Sans CJK SC"/>
        <family val="2"/>
      </rPr>
      <t xml:space="preserve">分钟产生 </t>
    </r>
    <r>
      <rPr>
        <sz val="9"/>
        <rFont val="Microsoft YaHei"/>
        <family val="0"/>
        <charset val="1"/>
      </rPr>
      <t xml:space="preserve">55 </t>
    </r>
    <r>
      <rPr>
        <sz val="9"/>
        <rFont val="Noto Sans CJK SC"/>
        <family val="2"/>
      </rPr>
      <t xml:space="preserve">并上报</t>
    </r>
  </si>
  <si>
    <t xml:space="preserve">NEW-17</t>
  </si>
  <si>
    <r>
      <rPr>
        <sz val="9"/>
        <rFont val="Noto Sans CJK SC"/>
        <family val="2"/>
      </rPr>
      <t xml:space="preserve">命令电流可置 </t>
    </r>
    <r>
      <rPr>
        <sz val="9"/>
        <rFont val="Microsoft YaHei"/>
        <family val="0"/>
        <charset val="1"/>
      </rPr>
      <t xml:space="preserve">0</t>
    </r>
    <r>
      <rPr>
        <sz val="9"/>
        <rFont val="Noto Sans CJK SC"/>
        <family val="2"/>
      </rPr>
      <t xml:space="preserve">；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上报充电状态；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不变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</si>
  <si>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命令电流 </t>
    </r>
    <r>
      <rPr>
        <sz val="9"/>
        <rFont val="Microsoft YaHei"/>
        <family val="0"/>
        <charset val="1"/>
      </rPr>
      <t xml:space="preserve">&gt; 0 </t>
    </r>
    <r>
      <rPr>
        <sz val="9"/>
        <rFont val="Noto Sans CJK SC"/>
        <family val="2"/>
      </rPr>
      <t xml:space="preserve">累计约 </t>
    </r>
    <r>
      <rPr>
        <sz val="9"/>
        <rFont val="Microsoft YaHei"/>
        <family val="0"/>
        <charset val="1"/>
      </rPr>
      <t xml:space="preserve">20 </t>
    </r>
    <r>
      <rPr>
        <sz val="9"/>
        <rFont val="Noto Sans CJK SC"/>
        <family val="2"/>
      </rPr>
      <t xml:space="preserve">分钟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将命令电流置 </t>
    </r>
    <r>
      <rPr>
        <sz val="9"/>
        <rFont val="Microsoft YaHei"/>
        <family val="0"/>
        <charset val="1"/>
      </rPr>
      <t xml:space="preserve">0</t>
    </r>
    <r>
      <rPr>
        <sz val="9"/>
        <rFont val="Noto Sans CJK SC"/>
        <family val="2"/>
      </rPr>
      <t xml:space="preserve">，保持 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充电 </t>
    </r>
    <r>
      <rPr>
        <sz val="9"/>
        <rFont val="Microsoft YaHei"/>
        <family val="0"/>
        <charset val="1"/>
      </rPr>
      <t xml:space="preserve">10 </t>
    </r>
    <r>
      <rPr>
        <sz val="9"/>
        <rFont val="Noto Sans CJK SC"/>
        <family val="2"/>
      </rPr>
      <t xml:space="preserve">分钟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观察告警</t>
    </r>
  </si>
  <si>
    <r>
      <rPr>
        <sz val="9"/>
        <rFont val="Noto Sans CJK SC"/>
        <family val="2"/>
      </rPr>
      <t xml:space="preserve">累计接续，达到 </t>
    </r>
    <r>
      <rPr>
        <sz val="9"/>
        <rFont val="Microsoft YaHei"/>
        <family val="0"/>
        <charset val="1"/>
      </rPr>
      <t xml:space="preserve">30 </t>
    </r>
    <r>
      <rPr>
        <sz val="9"/>
        <rFont val="Noto Sans CJK SC"/>
        <family val="2"/>
      </rPr>
      <t xml:space="preserve">分钟时产生 </t>
    </r>
    <r>
      <rPr>
        <sz val="9"/>
        <rFont val="Microsoft YaHei"/>
        <family val="0"/>
        <charset val="1"/>
      </rPr>
      <t xml:space="preserve">55</t>
    </r>
    <r>
      <rPr>
        <sz val="9"/>
        <rFont val="Noto Sans CJK SC"/>
        <family val="2"/>
      </rPr>
      <t xml:space="preserve">，不因命令电流为 </t>
    </r>
    <r>
      <rPr>
        <sz val="9"/>
        <rFont val="Microsoft YaHei"/>
        <family val="0"/>
        <charset val="1"/>
      </rPr>
      <t xml:space="preserve">0 </t>
    </r>
    <r>
      <rPr>
        <sz val="9"/>
        <rFont val="Noto Sans CJK SC"/>
        <family val="2"/>
      </rPr>
      <t xml:space="preserve">而中断</t>
    </r>
  </si>
  <si>
    <r>
      <rPr>
        <sz val="9"/>
        <color rgb="FFB54708"/>
        <rFont val="Noto Sans CJK SC"/>
        <family val="2"/>
      </rPr>
      <t xml:space="preserve">接续</t>
    </r>
    <r>
      <rPr>
        <sz val="9"/>
        <color rgb="FFB54708"/>
        <rFont val="Microsoft YaHei"/>
        <family val="0"/>
        <charset val="1"/>
      </rPr>
      <t xml:space="preserve">/</t>
    </r>
    <r>
      <rPr>
        <sz val="9"/>
        <color rgb="FFB54708"/>
        <rFont val="Noto Sans CJK SC"/>
        <family val="2"/>
      </rPr>
      <t xml:space="preserve">重置待确认；</t>
    </r>
    <r>
      <rPr>
        <sz val="9"/>
        <color rgb="FFB54708"/>
        <rFont val="Microsoft YaHei"/>
        <family val="0"/>
        <charset val="1"/>
      </rPr>
      <t xml:space="preserve">AS-06</t>
    </r>
  </si>
  <si>
    <t xml:space="preserve">NEW-18</t>
  </si>
  <si>
    <r>
      <rPr>
        <sz val="9"/>
        <rFont val="Noto Sans CJK SC"/>
        <family val="2"/>
      </rPr>
      <t xml:space="preserve">命令电流 </t>
    </r>
    <r>
      <rPr>
        <sz val="9"/>
        <rFont val="Microsoft YaHei"/>
        <family val="0"/>
        <charset val="1"/>
      </rPr>
      <t xml:space="preserve">= 0</t>
    </r>
    <r>
      <rPr>
        <sz val="9"/>
        <rFont val="Noto Sans CJK SC"/>
        <family val="2"/>
      </rPr>
      <t xml:space="preserve">，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非充电（静置），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不变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</si>
  <si>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命令电流置 </t>
    </r>
    <r>
      <rPr>
        <sz val="9"/>
        <rFont val="Microsoft YaHei"/>
        <family val="0"/>
        <charset val="1"/>
      </rPr>
      <t xml:space="preserve">0</t>
    </r>
    <r>
      <rPr>
        <sz val="9"/>
        <rFont val="Noto Sans CJK SC"/>
        <family val="2"/>
      </rPr>
      <t xml:space="preserve">，保持静置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持续 </t>
    </r>
    <r>
      <rPr>
        <sz val="9"/>
        <rFont val="Microsoft YaHei"/>
        <family val="0"/>
        <charset val="1"/>
      </rPr>
      <t xml:space="preserve">30 </t>
    </r>
    <r>
      <rPr>
        <sz val="9"/>
        <rFont val="Noto Sans CJK SC"/>
        <family val="2"/>
      </rPr>
      <t xml:space="preserve">分钟以上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观察告警</t>
    </r>
  </si>
  <si>
    <r>
      <rPr>
        <sz val="9"/>
        <rFont val="Noto Sans CJK SC"/>
        <family val="2"/>
      </rPr>
      <t xml:space="preserve">不产生 </t>
    </r>
    <r>
      <rPr>
        <sz val="9"/>
        <rFont val="Microsoft YaHei"/>
        <family val="0"/>
        <charset val="1"/>
      </rPr>
      <t xml:space="preserve">55</t>
    </r>
    <r>
      <rPr>
        <sz val="9"/>
        <rFont val="Noto Sans CJK SC"/>
        <family val="2"/>
      </rPr>
      <t xml:space="preserve">（累计暂停）</t>
    </r>
  </si>
  <si>
    <t xml:space="preserve">NEW-19</t>
  </si>
  <si>
    <r>
      <rPr>
        <sz val="9"/>
        <rFont val="Noto Sans CJK SC"/>
        <family val="2"/>
      </rPr>
      <t xml:space="preserve">命令电流 </t>
    </r>
    <r>
      <rPr>
        <sz val="9"/>
        <rFont val="Microsoft YaHei"/>
        <family val="0"/>
        <charset val="1"/>
      </rPr>
      <t xml:space="preserve">= 0</t>
    </r>
    <r>
      <rPr>
        <sz val="9"/>
        <rFont val="Noto Sans CJK SC"/>
        <family val="2"/>
      </rPr>
      <t xml:space="preserve">，电池处于放电状态，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不变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</si>
  <si>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命令电流置 </t>
    </r>
    <r>
      <rPr>
        <sz val="9"/>
        <rFont val="Microsoft YaHei"/>
        <family val="0"/>
        <charset val="1"/>
      </rPr>
      <t xml:space="preserve">0</t>
    </r>
    <r>
      <rPr>
        <sz val="9"/>
        <rFont val="Noto Sans CJK SC"/>
        <family val="2"/>
      </rPr>
      <t xml:space="preserve">，使电池放电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保持 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不变 </t>
    </r>
    <r>
      <rPr>
        <sz val="9"/>
        <rFont val="Microsoft YaHei"/>
        <family val="0"/>
        <charset val="1"/>
      </rPr>
      <t xml:space="preserve">30 </t>
    </r>
    <r>
      <rPr>
        <sz val="9"/>
        <rFont val="Noto Sans CJK SC"/>
        <family val="2"/>
      </rPr>
      <t xml:space="preserve">分钟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观察告警</t>
    </r>
  </si>
  <si>
    <t xml:space="preserve">NEW-20</t>
  </si>
  <si>
    <r>
      <rPr>
        <sz val="9"/>
        <rFont val="Noto Sans CJK SC"/>
        <family val="2"/>
      </rPr>
      <t xml:space="preserve">可切换 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充电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非充电状态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</si>
  <si>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累计 </t>
    </r>
    <r>
      <rPr>
        <sz val="9"/>
        <rFont val="Microsoft YaHei"/>
        <family val="0"/>
        <charset val="1"/>
      </rPr>
      <t xml:space="preserve">20 </t>
    </r>
    <r>
      <rPr>
        <sz val="9"/>
        <rFont val="Noto Sans CJK SC"/>
        <family val="2"/>
      </rPr>
      <t xml:space="preserve">分钟后暂停（非 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充）</t>
    </r>
    <r>
      <rPr>
        <sz val="9"/>
        <rFont val="Microsoft YaHei"/>
        <family val="0"/>
        <charset val="1"/>
      </rPr>
      <t xml:space="preserve">10 </t>
    </r>
    <r>
      <rPr>
        <sz val="9"/>
        <rFont val="Noto Sans CJK SC"/>
        <family val="2"/>
      </rPr>
      <t xml:space="preserve">分钟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恢复 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充电 </t>
    </r>
    <r>
      <rPr>
        <sz val="9"/>
        <rFont val="Microsoft YaHei"/>
        <family val="0"/>
        <charset val="1"/>
      </rPr>
      <t xml:space="preserve">10 </t>
    </r>
    <r>
      <rPr>
        <sz val="9"/>
        <rFont val="Noto Sans CJK SC"/>
        <family val="2"/>
      </rPr>
      <t xml:space="preserve">分钟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记录告警产生时间</t>
    </r>
  </si>
  <si>
    <r>
      <rPr>
        <sz val="9"/>
        <rFont val="Noto Sans CJK SC"/>
        <family val="2"/>
      </rPr>
      <t xml:space="preserve">若接续累计，第 </t>
    </r>
    <r>
      <rPr>
        <sz val="9"/>
        <rFont val="Microsoft YaHei"/>
        <family val="0"/>
        <charset val="1"/>
      </rPr>
      <t xml:space="preserve">30 </t>
    </r>
    <r>
      <rPr>
        <sz val="9"/>
        <rFont val="Noto Sans CJK SC"/>
        <family val="2"/>
      </rPr>
      <t xml:space="preserve">分钟报；若重新计时，第 </t>
    </r>
    <r>
      <rPr>
        <sz val="9"/>
        <rFont val="Microsoft YaHei"/>
        <family val="0"/>
        <charset val="1"/>
      </rPr>
      <t xml:space="preserve">40 </t>
    </r>
    <r>
      <rPr>
        <sz val="9"/>
        <rFont val="Noto Sans CJK SC"/>
        <family val="2"/>
      </rPr>
      <t xml:space="preserve">分钟报。记录实际并对照规格</t>
    </r>
  </si>
  <si>
    <r>
      <rPr>
        <sz val="9"/>
        <color rgb="FFB54708"/>
        <rFont val="Noto Sans CJK SC"/>
        <family val="2"/>
      </rPr>
      <t xml:space="preserve">待确认；</t>
    </r>
    <r>
      <rPr>
        <sz val="9"/>
        <color rgb="FFB54708"/>
        <rFont val="Microsoft YaHei"/>
        <family val="0"/>
        <charset val="1"/>
      </rPr>
      <t xml:space="preserve">AS-06</t>
    </r>
  </si>
  <si>
    <t xml:space="preserve">NEW-21</t>
  </si>
  <si>
    <r>
      <rPr>
        <sz val="9"/>
        <rFont val="Noto Sans CJK SC"/>
        <family val="2"/>
      </rPr>
      <t xml:space="preserve">累计中可暂停，且暂停期间 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可变化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</si>
  <si>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累计 </t>
    </r>
    <r>
      <rPr>
        <sz val="9"/>
        <rFont val="Microsoft YaHei"/>
        <family val="0"/>
        <charset val="1"/>
      </rPr>
      <t xml:space="preserve">20 </t>
    </r>
    <r>
      <rPr>
        <sz val="9"/>
        <rFont val="Noto Sans CJK SC"/>
        <family val="2"/>
      </rPr>
      <t xml:space="preserve">分钟后暂停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暂停期间使 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变化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恢复充电并保持 </t>
    </r>
    <r>
      <rPr>
        <sz val="9"/>
        <rFont val="Microsoft YaHei"/>
        <family val="0"/>
        <charset val="1"/>
      </rPr>
      <t xml:space="preserve">30 </t>
    </r>
    <r>
      <rPr>
        <sz val="9"/>
        <rFont val="Noto Sans CJK SC"/>
        <family val="2"/>
      </rPr>
      <t xml:space="preserve">分钟</t>
    </r>
  </si>
  <si>
    <r>
      <rPr>
        <sz val="9"/>
        <rFont val="Noto Sans CJK SC"/>
        <family val="2"/>
      </rPr>
      <t xml:space="preserve">计时从 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变化后重新开始，</t>
    </r>
    <r>
      <rPr>
        <sz val="9"/>
        <rFont val="Microsoft YaHei"/>
        <family val="0"/>
        <charset val="1"/>
      </rPr>
      <t xml:space="preserve">30 </t>
    </r>
    <r>
      <rPr>
        <sz val="9"/>
        <rFont val="Noto Sans CJK SC"/>
        <family val="2"/>
      </rPr>
      <t xml:space="preserve">分钟后产生 </t>
    </r>
    <r>
      <rPr>
        <sz val="9"/>
        <rFont val="Microsoft YaHei"/>
        <family val="0"/>
        <charset val="1"/>
      </rPr>
      <t xml:space="preserve">55</t>
    </r>
  </si>
  <si>
    <r>
      <rPr>
        <sz val="9"/>
        <color rgb="FFB54708"/>
        <rFont val="Microsoft YaHei"/>
        <family val="0"/>
        <charset val="1"/>
      </rPr>
      <t xml:space="preserve">SOC </t>
    </r>
    <r>
      <rPr>
        <sz val="9"/>
        <color rgb="FFB54708"/>
        <rFont val="Noto Sans CJK SC"/>
        <family val="2"/>
      </rPr>
      <t xml:space="preserve">变化清零规则待确认</t>
    </r>
  </si>
  <si>
    <t xml:space="preserve">NEW-22</t>
  </si>
  <si>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在 </t>
    </r>
    <r>
      <rPr>
        <sz val="9"/>
        <rFont val="Microsoft YaHei"/>
        <family val="0"/>
        <charset val="1"/>
      </rPr>
      <t xml:space="preserve">95~100 </t>
    </r>
    <r>
      <rPr>
        <sz val="9"/>
        <rFont val="Noto Sans CJK SC"/>
        <family val="2"/>
      </rPr>
      <t xml:space="preserve">下降，命令电流 </t>
    </r>
    <r>
      <rPr>
        <sz val="9"/>
        <rFont val="Microsoft YaHei"/>
        <family val="0"/>
        <charset val="1"/>
      </rPr>
      <t xml:space="preserve">= 0</t>
    </r>
    <r>
      <rPr>
        <sz val="9"/>
        <rFont val="Noto Sans CJK SC"/>
        <family val="2"/>
      </rPr>
      <t xml:space="preserve">，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充电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</si>
  <si>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构造上述状态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保持 </t>
    </r>
    <r>
      <rPr>
        <sz val="9"/>
        <rFont val="Microsoft YaHei"/>
        <family val="0"/>
        <charset val="1"/>
      </rPr>
      <t xml:space="preserve">30 </t>
    </r>
    <r>
      <rPr>
        <sz val="9"/>
        <rFont val="Noto Sans CJK SC"/>
        <family val="2"/>
      </rPr>
      <t xml:space="preserve">分钟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观察告警</t>
    </r>
  </si>
  <si>
    <r>
      <rPr>
        <sz val="9"/>
        <rFont val="Noto Sans CJK SC"/>
        <family val="2"/>
      </rPr>
      <t xml:space="preserve">不产生 </t>
    </r>
    <r>
      <rPr>
        <sz val="9"/>
        <rFont val="Microsoft YaHei"/>
        <family val="0"/>
        <charset val="1"/>
      </rPr>
      <t xml:space="preserve">55</t>
    </r>
    <r>
      <rPr>
        <sz val="9"/>
        <rFont val="Noto Sans CJK SC"/>
        <family val="2"/>
      </rPr>
      <t xml:space="preserve">（叠加 </t>
    </r>
    <r>
      <rPr>
        <sz val="9"/>
        <rFont val="Microsoft YaHei"/>
        <family val="0"/>
        <charset val="1"/>
      </rPr>
      <t xml:space="preserve">95-100 </t>
    </r>
    <r>
      <rPr>
        <sz val="9"/>
        <rFont val="Noto Sans CJK SC"/>
        <family val="2"/>
      </rPr>
      <t xml:space="preserve">下降不报规则）</t>
    </r>
  </si>
  <si>
    <t xml:space="preserve">NEW-23</t>
  </si>
  <si>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在 </t>
    </r>
    <r>
      <rPr>
        <sz val="9"/>
        <rFont val="Microsoft YaHei"/>
        <family val="0"/>
        <charset val="1"/>
      </rPr>
      <t xml:space="preserve">0~95 </t>
    </r>
    <r>
      <rPr>
        <sz val="9"/>
        <rFont val="Noto Sans CJK SC"/>
        <family val="2"/>
      </rPr>
      <t xml:space="preserve">下降，命令电流 </t>
    </r>
    <r>
      <rPr>
        <sz val="9"/>
        <rFont val="Microsoft YaHei"/>
        <family val="0"/>
        <charset val="1"/>
      </rPr>
      <t xml:space="preserve">= 0</t>
    </r>
    <r>
      <rPr>
        <sz val="9"/>
        <rFont val="Noto Sans CJK SC"/>
        <family val="2"/>
      </rPr>
      <t xml:space="preserve">，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充电</t>
    </r>
  </si>
  <si>
    <r>
      <rPr>
        <sz val="9"/>
        <rFont val="Noto Sans CJK SC"/>
        <family val="2"/>
      </rPr>
      <t xml:space="preserve">产生 </t>
    </r>
    <r>
      <rPr>
        <sz val="9"/>
        <rFont val="Microsoft YaHei"/>
        <family val="0"/>
        <charset val="1"/>
      </rPr>
      <t xml:space="preserve">55 </t>
    </r>
    <r>
      <rPr>
        <sz val="9"/>
        <rFont val="Noto Sans CJK SC"/>
        <family val="2"/>
      </rPr>
      <t xml:space="preserve">并上报</t>
    </r>
  </si>
  <si>
    <t xml:space="preserve">NEW-24</t>
  </si>
  <si>
    <r>
      <rPr>
        <sz val="9"/>
        <rFont val="Noto Sans CJK SC"/>
        <family val="2"/>
      </rPr>
      <t xml:space="preserve">命令电流可高频切换，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持续充电，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不变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</si>
  <si>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命令电流在 </t>
    </r>
    <r>
      <rPr>
        <sz val="9"/>
        <rFont val="Microsoft YaHei"/>
        <family val="0"/>
        <charset val="1"/>
      </rPr>
      <t xml:space="preserve">&gt;0 </t>
    </r>
    <r>
      <rPr>
        <sz val="9"/>
        <rFont val="Noto Sans CJK SC"/>
        <family val="2"/>
      </rPr>
      <t xml:space="preserve">与 </t>
    </r>
    <r>
      <rPr>
        <sz val="9"/>
        <rFont val="Microsoft YaHei"/>
        <family val="0"/>
        <charset val="1"/>
      </rPr>
      <t xml:space="preserve">=0 </t>
    </r>
    <r>
      <rPr>
        <sz val="9"/>
        <rFont val="Noto Sans CJK SC"/>
        <family val="2"/>
      </rPr>
      <t xml:space="preserve">间每分钟切换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保持 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不变 </t>
    </r>
    <r>
      <rPr>
        <sz val="9"/>
        <rFont val="Microsoft YaHei"/>
        <family val="0"/>
        <charset val="1"/>
      </rPr>
      <t xml:space="preserve">30 </t>
    </r>
    <r>
      <rPr>
        <sz val="9"/>
        <rFont val="Noto Sans CJK SC"/>
        <family val="2"/>
      </rPr>
      <t xml:space="preserve">分钟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观察告警与重复上报</t>
    </r>
  </si>
  <si>
    <r>
      <rPr>
        <sz val="9"/>
        <rFont val="Noto Sans CJK SC"/>
        <family val="2"/>
      </rPr>
      <t xml:space="preserve">累计不中断，</t>
    </r>
    <r>
      <rPr>
        <sz val="9"/>
        <rFont val="Microsoft YaHei"/>
        <family val="0"/>
        <charset val="1"/>
      </rPr>
      <t xml:space="preserve">30 </t>
    </r>
    <r>
      <rPr>
        <sz val="9"/>
        <rFont val="Noto Sans CJK SC"/>
        <family val="2"/>
      </rPr>
      <t xml:space="preserve">分钟产生 </t>
    </r>
    <r>
      <rPr>
        <sz val="9"/>
        <rFont val="Microsoft YaHei"/>
        <family val="0"/>
        <charset val="1"/>
      </rPr>
      <t xml:space="preserve">55</t>
    </r>
    <r>
      <rPr>
        <sz val="9"/>
        <rFont val="Noto Sans CJK SC"/>
        <family val="2"/>
      </rPr>
      <t xml:space="preserve">；不产生重复告警</t>
    </r>
  </si>
  <si>
    <r>
      <rPr>
        <sz val="9"/>
        <rFont val="Noto Sans CJK SC"/>
        <family val="2"/>
      </rPr>
      <t xml:space="preserve">平台告警、日志、</t>
    </r>
    <r>
      <rPr>
        <sz val="9"/>
        <rFont val="Microsoft YaHei"/>
        <family val="0"/>
        <charset val="1"/>
      </rPr>
      <t xml:space="preserve">MQTT </t>
    </r>
    <r>
      <rPr>
        <sz val="9"/>
        <rFont val="Noto Sans CJK SC"/>
        <family val="2"/>
      </rPr>
      <t xml:space="preserve">报文</t>
    </r>
  </si>
  <si>
    <t xml:space="preserve">切换频率按现场可构造为准</t>
  </si>
  <si>
    <t xml:space="preserve">NEW-25</t>
  </si>
  <si>
    <t xml:space="preserve">两个及以上仓可同时满足条件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</si>
  <si>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使两仓同时进入 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不变 </t>
    </r>
    <r>
      <rPr>
        <sz val="9"/>
        <rFont val="Microsoft YaHei"/>
        <family val="0"/>
        <charset val="1"/>
      </rPr>
      <t xml:space="preserve">30 </t>
    </r>
    <r>
      <rPr>
        <sz val="9"/>
        <rFont val="Noto Sans CJK SC"/>
        <family val="2"/>
      </rPr>
      <t xml:space="preserve">分钟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观察告警</t>
    </r>
  </si>
  <si>
    <r>
      <rPr>
        <sz val="9"/>
        <rFont val="Noto Sans CJK SC"/>
        <family val="2"/>
      </rPr>
      <t xml:space="preserve">各仓独立计时并分别上报 </t>
    </r>
    <r>
      <rPr>
        <sz val="9"/>
        <rFont val="Microsoft YaHei"/>
        <family val="0"/>
        <charset val="1"/>
      </rPr>
      <t xml:space="preserve">55</t>
    </r>
    <r>
      <rPr>
        <sz val="9"/>
        <rFont val="Noto Sans CJK SC"/>
        <family val="2"/>
      </rPr>
      <t xml:space="preserve">，仓号正确，互不覆盖</t>
    </r>
  </si>
  <si>
    <t xml:space="preserve">NEW-26</t>
  </si>
  <si>
    <r>
      <rPr>
        <sz val="9"/>
        <rFont val="Noto Sans CJK SC"/>
        <family val="2"/>
      </rPr>
      <t xml:space="preserve">命令电流 </t>
    </r>
    <r>
      <rPr>
        <sz val="9"/>
        <rFont val="Microsoft YaHei"/>
        <family val="0"/>
        <charset val="1"/>
      </rPr>
      <t xml:space="preserve">= 0</t>
    </r>
    <r>
      <rPr>
        <sz val="9"/>
        <rFont val="Noto Sans CJK SC"/>
        <family val="2"/>
      </rPr>
      <t xml:space="preserve">、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充电状态，同时注入 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故障禁充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</si>
  <si>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构造上述组合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保持 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不变 </t>
    </r>
    <r>
      <rPr>
        <sz val="9"/>
        <rFont val="Microsoft YaHei"/>
        <family val="0"/>
        <charset val="1"/>
      </rPr>
      <t xml:space="preserve">30 </t>
    </r>
    <r>
      <rPr>
        <sz val="9"/>
        <rFont val="Noto Sans CJK SC"/>
        <family val="2"/>
      </rPr>
      <t xml:space="preserve">分钟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观察告警与停充</t>
    </r>
  </si>
  <si>
    <t xml:space="preserve">按规格执行（停充后是否仍累计），无异常重复告警；停充优先</t>
  </si>
  <si>
    <t xml:space="preserve">平台告警、电流、日志</t>
  </si>
  <si>
    <t xml:space="preserve">交互策略待确认</t>
  </si>
  <si>
    <t xml:space="preserve">NEW-27</t>
  </si>
  <si>
    <t xml:space="preserve">温度采集</t>
  </si>
  <si>
    <r>
      <rPr>
        <sz val="9"/>
        <rFont val="Noto Sans CJK SC"/>
        <family val="2"/>
      </rPr>
      <t xml:space="preserve">本次</t>
    </r>
    <r>
      <rPr>
        <sz val="9"/>
        <rFont val="Microsoft YaHei"/>
        <family val="0"/>
        <charset val="1"/>
      </rPr>
      <t xml:space="preserve">-</t>
    </r>
    <r>
      <rPr>
        <sz val="9"/>
        <rFont val="Noto Sans CJK SC"/>
        <family val="2"/>
      </rPr>
      <t xml:space="preserve">新功能</t>
    </r>
    <r>
      <rPr>
        <sz val="9"/>
        <rFont val="Microsoft YaHei"/>
        <family val="0"/>
        <charset val="1"/>
      </rPr>
      <t xml:space="preserve">-3 </t>
    </r>
    <r>
      <rPr>
        <sz val="9"/>
        <rFont val="Noto Sans CJK SC"/>
        <family val="2"/>
      </rPr>
      <t xml:space="preserve">有符号温度</t>
    </r>
  </si>
  <si>
    <r>
      <rPr>
        <sz val="9"/>
        <rFont val="Noto Sans CJK SC"/>
        <family val="2"/>
      </rPr>
      <t xml:space="preserve">可使仓温传感器处于负温（冰袋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冷柜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传感器模拟）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</si>
  <si>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使仓温降至 </t>
    </r>
    <r>
      <rPr>
        <sz val="9"/>
        <rFont val="Microsoft YaHei"/>
        <family val="0"/>
        <charset val="1"/>
      </rPr>
      <t xml:space="preserve">-5~-10℃
2. </t>
    </r>
    <r>
      <rPr>
        <sz val="9"/>
        <rFont val="Noto Sans CJK SC"/>
        <family val="2"/>
      </rPr>
      <t xml:space="preserve">平台查看仓温数值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查看历史曲线</t>
    </r>
  </si>
  <si>
    <r>
      <rPr>
        <sz val="9"/>
        <rFont val="Noto Sans CJK SC"/>
        <family val="2"/>
      </rPr>
      <t xml:space="preserve">显示负值（如 </t>
    </r>
    <r>
      <rPr>
        <sz val="9"/>
        <rFont val="Microsoft YaHei"/>
        <family val="0"/>
        <charset val="1"/>
      </rPr>
      <t xml:space="preserve">-8℃</t>
    </r>
    <r>
      <rPr>
        <sz val="9"/>
        <rFont val="Noto Sans CJK SC"/>
        <family val="2"/>
      </rPr>
      <t xml:space="preserve">），不出现 </t>
    </r>
    <r>
      <rPr>
        <sz val="9"/>
        <rFont val="Microsoft YaHei"/>
        <family val="0"/>
        <charset val="1"/>
      </rPr>
      <t xml:space="preserve">240+ </t>
    </r>
    <r>
      <rPr>
        <sz val="9"/>
        <rFont val="Noto Sans CJK SC"/>
        <family val="2"/>
      </rPr>
      <t xml:space="preserve">的大正数；曲线正确</t>
    </r>
  </si>
  <si>
    <t xml:space="preserve">平台实时数据、历史曲线、本地屏</t>
  </si>
  <si>
    <r>
      <rPr>
        <b val="true"/>
        <sz val="9"/>
        <color rgb="FFB42318"/>
        <rFont val="Noto Sans CJK SC"/>
        <family val="2"/>
      </rPr>
      <t xml:space="preserve">依赖 </t>
    </r>
    <r>
      <rPr>
        <b val="true"/>
        <sz val="9"/>
        <color rgb="FFB42318"/>
        <rFont val="Microsoft YaHei"/>
        <family val="0"/>
        <charset val="1"/>
      </rPr>
      <t xml:space="preserve">BL-03</t>
    </r>
    <r>
      <rPr>
        <b val="true"/>
        <sz val="9"/>
        <color rgb="FFB42318"/>
        <rFont val="Noto Sans CJK SC"/>
        <family val="2"/>
      </rPr>
      <t xml:space="preserve">；</t>
    </r>
    <r>
      <rPr>
        <b val="true"/>
        <sz val="9"/>
        <color rgb="FFB42318"/>
        <rFont val="Microsoft YaHei"/>
        <family val="0"/>
        <charset val="1"/>
      </rPr>
      <t xml:space="preserve">AS-07</t>
    </r>
  </si>
  <si>
    <t xml:space="preserve">NEW-28</t>
  </si>
  <si>
    <t xml:space="preserve">可使柜温传感器处于负温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</si>
  <si>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使柜温降至 </t>
    </r>
    <r>
      <rPr>
        <sz val="9"/>
        <rFont val="Microsoft YaHei"/>
        <family val="0"/>
        <charset val="1"/>
      </rPr>
      <t xml:space="preserve">-5~-10℃
2. </t>
    </r>
    <r>
      <rPr>
        <sz val="9"/>
        <rFont val="Noto Sans CJK SC"/>
        <family val="2"/>
      </rPr>
      <t xml:space="preserve">平台查看柜温数值与曲线</t>
    </r>
  </si>
  <si>
    <t xml:space="preserve">显示负值，无符号错误，曲线正确</t>
  </si>
  <si>
    <t xml:space="preserve">平台、本地屏</t>
  </si>
  <si>
    <r>
      <rPr>
        <b val="true"/>
        <sz val="9"/>
        <color rgb="FFB42318"/>
        <rFont val="Noto Sans CJK SC"/>
        <family val="2"/>
      </rPr>
      <t xml:space="preserve">依赖 </t>
    </r>
    <r>
      <rPr>
        <b val="true"/>
        <sz val="9"/>
        <color rgb="FFB42318"/>
        <rFont val="Microsoft YaHei"/>
        <family val="0"/>
        <charset val="1"/>
      </rPr>
      <t xml:space="preserve">BL-03</t>
    </r>
  </si>
  <si>
    <t xml:space="preserve">NEW-29</t>
  </si>
  <si>
    <t xml:space="preserve">可使环温传感器处于负温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</si>
  <si>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使环温降至负温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平台查看环温数值与曲线</t>
    </r>
  </si>
  <si>
    <t xml:space="preserve">NEW-30</t>
  </si>
  <si>
    <r>
      <rPr>
        <sz val="9"/>
        <rFont val="Noto Sans CJK SC"/>
        <family val="2"/>
      </rPr>
      <t xml:space="preserve">可使温度在 </t>
    </r>
    <r>
      <rPr>
        <sz val="9"/>
        <rFont val="Microsoft YaHei"/>
        <family val="0"/>
        <charset val="1"/>
      </rPr>
      <t xml:space="preserve">0℃ </t>
    </r>
    <r>
      <rPr>
        <sz val="9"/>
        <rFont val="Noto Sans CJK SC"/>
        <family val="2"/>
      </rPr>
      <t xml:space="preserve">附近变化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</si>
  <si>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使温度按 </t>
    </r>
    <r>
      <rPr>
        <sz val="9"/>
        <rFont val="Microsoft YaHei"/>
        <family val="0"/>
        <charset val="1"/>
      </rPr>
      <t xml:space="preserve">-2→0→2℃ </t>
    </r>
    <r>
      <rPr>
        <sz val="9"/>
        <rFont val="Noto Sans CJK SC"/>
        <family val="2"/>
      </rPr>
      <t xml:space="preserve">变化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观察每次上报值</t>
    </r>
  </si>
  <si>
    <t xml:space="preserve">数值连续变化，过零点无跳变、无符号翻转</t>
  </si>
  <si>
    <t xml:space="preserve">平台实时数据、日志</t>
  </si>
  <si>
    <t xml:space="preserve">NEW-31</t>
  </si>
  <si>
    <t xml:space="preserve">可使温度接近量程边界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</si>
  <si>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使温度接近量程下限（如 </t>
    </r>
    <r>
      <rPr>
        <sz val="9"/>
        <rFont val="Microsoft YaHei"/>
        <family val="0"/>
        <charset val="1"/>
      </rPr>
      <t xml:space="preserve">-40℃</t>
    </r>
    <r>
      <rPr>
        <sz val="9"/>
        <rFont val="Noto Sans CJK SC"/>
        <family val="2"/>
      </rPr>
      <t xml:space="preserve">）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使温度接近上限（如 </t>
    </r>
    <r>
      <rPr>
        <sz val="9"/>
        <rFont val="Microsoft YaHei"/>
        <family val="0"/>
        <charset val="1"/>
      </rPr>
      <t xml:space="preserve">125℃</t>
    </r>
    <r>
      <rPr>
        <sz val="9"/>
        <rFont val="Noto Sans CJK SC"/>
        <family val="2"/>
      </rPr>
      <t xml:space="preserve">）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观察解析值</t>
    </r>
  </si>
  <si>
    <t xml:space="preserve">边界值解析正确，不溢出、不翻转</t>
  </si>
  <si>
    <r>
      <rPr>
        <sz val="9"/>
        <rFont val="Noto Sans CJK SC"/>
        <family val="2"/>
      </rPr>
      <t xml:space="preserve">平台、</t>
    </r>
    <r>
      <rPr>
        <sz val="9"/>
        <rFont val="Microsoft YaHei"/>
        <family val="0"/>
        <charset val="1"/>
      </rPr>
      <t xml:space="preserve">485 </t>
    </r>
    <r>
      <rPr>
        <sz val="9"/>
        <rFont val="Noto Sans CJK SC"/>
        <family val="2"/>
      </rPr>
      <t xml:space="preserve">报文</t>
    </r>
  </si>
  <si>
    <t xml:space="preserve">量程待确认</t>
  </si>
  <si>
    <t xml:space="preserve">NEW-32</t>
  </si>
  <si>
    <r>
      <rPr>
        <sz val="9"/>
        <rFont val="Noto Sans CJK SC"/>
        <family val="2"/>
      </rPr>
      <t xml:space="preserve">存在低温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高温告警阈值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</si>
  <si>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在负温环境观察低温告警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核对是否误报高温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核对告警中的温度值</t>
    </r>
  </si>
  <si>
    <t xml:space="preserve">低温告警按阈值正确触发；不误报高温；告警值为负值</t>
  </si>
  <si>
    <t xml:space="preserve">阈值待确认</t>
  </si>
  <si>
    <t xml:space="preserve">NEW-33</t>
  </si>
  <si>
    <t xml:space="preserve">已产生负温历史数据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</si>
  <si>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查询负温时段历史曲线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报表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核对统计值</t>
    </r>
  </si>
  <si>
    <r>
      <rPr>
        <sz val="9"/>
        <rFont val="Noto Sans CJK SC"/>
        <family val="2"/>
      </rPr>
      <t xml:space="preserve">历史值保持负值，统计（最大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最小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平均）正确</t>
    </r>
  </si>
  <si>
    <t xml:space="preserve">平台历史数据</t>
  </si>
  <si>
    <t xml:space="preserve">NEW-34</t>
  </si>
  <si>
    <t xml:space="preserve">功率分配</t>
  </si>
  <si>
    <r>
      <rPr>
        <sz val="9"/>
        <rFont val="Noto Sans CJK SC"/>
        <family val="2"/>
      </rPr>
      <t xml:space="preserve">本次</t>
    </r>
    <r>
      <rPr>
        <sz val="9"/>
        <rFont val="Microsoft YaHei"/>
        <family val="0"/>
        <charset val="1"/>
      </rPr>
      <t xml:space="preserve">-</t>
    </r>
    <r>
      <rPr>
        <sz val="9"/>
        <rFont val="Noto Sans CJK SC"/>
        <family val="2"/>
      </rPr>
      <t xml:space="preserve">修复</t>
    </r>
    <r>
      <rPr>
        <sz val="9"/>
        <rFont val="Microsoft YaHei"/>
        <family val="0"/>
        <charset val="1"/>
      </rPr>
      <t xml:space="preserve">-1 </t>
    </r>
    <r>
      <rPr>
        <sz val="9"/>
        <rFont val="Noto Sans CJK SC"/>
        <family val="2"/>
      </rPr>
      <t xml:space="preserve">满需求功率</t>
    </r>
  </si>
  <si>
    <t xml:space="preserve">多仓可用，柜总功率充足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</si>
  <si>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单仓发起满需求充电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测量该仓电流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功率</t>
    </r>
  </si>
  <si>
    <t xml:space="preserve">输出达到该仓满需求值（容差按规格）</t>
  </si>
  <si>
    <t xml:space="preserve">钳形表、平台电流</t>
  </si>
  <si>
    <t xml:space="preserve">满需求值待确认</t>
  </si>
  <si>
    <t xml:space="preserve">NEW-35</t>
  </si>
  <si>
    <t xml:space="preserve">多仓同时满需求，柜总功率不足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</si>
  <si>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同时启动多仓满需求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测量各正常档口电流与柜总功率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持续观察 </t>
    </r>
    <r>
      <rPr>
        <sz val="9"/>
        <rFont val="Microsoft YaHei"/>
        <family val="0"/>
        <charset val="1"/>
      </rPr>
      <t xml:space="preserve">10 </t>
    </r>
    <r>
      <rPr>
        <sz val="9"/>
        <rFont val="Noto Sans CJK SC"/>
        <family val="2"/>
      </rPr>
      <t xml:space="preserve">分钟</t>
    </r>
  </si>
  <si>
    <t xml:space="preserve">柜总功率不超上限；每个正常档口电流 ≥ 保底涓流值，无档口被完全饿死</t>
  </si>
  <si>
    <r>
      <rPr>
        <sz val="9"/>
        <rFont val="Noto Sans CJK SC"/>
        <family val="2"/>
      </rPr>
      <t xml:space="preserve">钳形表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功率计、平台</t>
    </r>
  </si>
  <si>
    <r>
      <rPr>
        <sz val="9"/>
        <color rgb="FFB54708"/>
        <rFont val="Noto Sans CJK SC"/>
        <family val="2"/>
      </rPr>
      <t xml:space="preserve">保底值待确认；</t>
    </r>
    <r>
      <rPr>
        <sz val="9"/>
        <color rgb="FFB54708"/>
        <rFont val="Microsoft YaHei"/>
        <family val="0"/>
        <charset val="1"/>
      </rPr>
      <t xml:space="preserve">AS-08</t>
    </r>
  </si>
  <si>
    <t xml:space="preserve">NEW-36</t>
  </si>
  <si>
    <r>
      <rPr>
        <sz val="9"/>
        <rFont val="Noto Sans CJK SC"/>
        <family val="2"/>
      </rPr>
      <t xml:space="preserve">部分档口故障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空仓，其余满需求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</si>
  <si>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使部分档口故障或空仓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其余档口满需求充电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测量分配</t>
    </r>
  </si>
  <si>
    <r>
      <rPr>
        <sz val="9"/>
        <rFont val="Noto Sans CJK SC"/>
        <family val="2"/>
      </rPr>
      <t xml:space="preserve">故障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空仓不占功率，正常档口分得更多，仍不超总功率</t>
    </r>
  </si>
  <si>
    <t xml:space="preserve">钳形表、平台</t>
  </si>
  <si>
    <t xml:space="preserve">NEW-37</t>
  </si>
  <si>
    <t xml:space="preserve">充电中需求可动态变化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</si>
  <si>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充电中 </t>
    </r>
    <r>
      <rPr>
        <sz val="9"/>
        <rFont val="Microsoft YaHei"/>
        <family val="0"/>
        <charset val="1"/>
      </rPr>
      <t xml:space="preserve">SOC </t>
    </r>
    <r>
      <rPr>
        <sz val="9"/>
        <rFont val="Noto Sans CJK SC"/>
        <family val="2"/>
      </rPr>
      <t xml:space="preserve">上升使需求下降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新增一仓满需求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观察重新分配</t>
    </r>
  </si>
  <si>
    <r>
      <rPr>
        <sz val="9"/>
        <rFont val="Noto Sans CJK SC"/>
        <family val="2"/>
      </rPr>
      <t xml:space="preserve">动态重分配，无档口长时间 </t>
    </r>
    <r>
      <rPr>
        <sz val="9"/>
        <rFont val="Microsoft YaHei"/>
        <family val="0"/>
        <charset val="1"/>
      </rPr>
      <t xml:space="preserve">0 </t>
    </r>
    <r>
      <rPr>
        <sz val="9"/>
        <rFont val="Noto Sans CJK SC"/>
        <family val="2"/>
      </rPr>
      <t xml:space="preserve">电流，无档口被饿死</t>
    </r>
  </si>
  <si>
    <t xml:space="preserve">NEW-38</t>
  </si>
  <si>
    <t xml:space="preserve">可从功率受限恢复到充足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</si>
  <si>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先制造总功率不足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解除限制使功率充足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观察各仓电流</t>
    </r>
  </si>
  <si>
    <r>
      <rPr>
        <sz val="9"/>
        <rFont val="Noto Sans CJK SC"/>
        <family val="2"/>
      </rPr>
      <t xml:space="preserve">各仓平滑回到满需求，无过冲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保护</t>
    </r>
  </si>
  <si>
    <t xml:space="preserve">NEW-39</t>
  </si>
  <si>
    <t xml:space="preserve">可反复触发分配切换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</si>
  <si>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反复启停档口制造分配切换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观察电流变化</t>
    </r>
  </si>
  <si>
    <r>
      <rPr>
        <sz val="9"/>
        <rFont val="Noto Sans CJK SC"/>
        <family val="2"/>
      </rPr>
      <t xml:space="preserve">电流无大幅跳变，不触发过流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保护，无异响</t>
    </r>
  </si>
  <si>
    <t xml:space="preserve">钳形表、日志</t>
  </si>
  <si>
    <t xml:space="preserve">NEW-40</t>
  </si>
  <si>
    <r>
      <rPr>
        <sz val="9"/>
        <rFont val="Noto Sans CJK SC"/>
        <family val="2"/>
      </rPr>
      <t xml:space="preserve">本次</t>
    </r>
    <r>
      <rPr>
        <sz val="9"/>
        <rFont val="Microsoft YaHei"/>
        <family val="0"/>
        <charset val="1"/>
      </rPr>
      <t xml:space="preserve">-</t>
    </r>
    <r>
      <rPr>
        <sz val="9"/>
        <rFont val="Noto Sans CJK SC"/>
        <family val="2"/>
      </rPr>
      <t xml:space="preserve">修复</t>
    </r>
    <r>
      <rPr>
        <sz val="9"/>
        <rFont val="Microsoft YaHei"/>
        <family val="0"/>
        <charset val="1"/>
      </rPr>
      <t xml:space="preserve">-2 </t>
    </r>
    <r>
      <rPr>
        <sz val="9"/>
        <rFont val="Noto Sans CJK SC"/>
        <family val="2"/>
      </rPr>
      <t xml:space="preserve">升级重试</t>
    </r>
  </si>
  <si>
    <r>
      <rPr>
        <sz val="9"/>
        <rFont val="Noto Sans CJK SC"/>
        <family val="2"/>
      </rPr>
      <t xml:space="preserve">可注入升级失败（断网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错误包</t>
    </r>
    <r>
      <rPr>
        <sz val="9"/>
        <rFont val="Microsoft YaHei"/>
        <family val="0"/>
        <charset val="1"/>
      </rPr>
      <t xml:space="preserve">/BMS </t>
    </r>
    <r>
      <rPr>
        <sz val="9"/>
        <rFont val="Noto Sans CJK SC"/>
        <family val="2"/>
      </rPr>
      <t xml:space="preserve">拒绝）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</si>
  <si>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使关键 </t>
    </r>
    <r>
      <rPr>
        <sz val="9"/>
        <rFont val="Microsoft YaHei"/>
        <family val="0"/>
        <charset val="1"/>
      </rPr>
      <t xml:space="preserve">4 </t>
    </r>
    <r>
      <rPr>
        <sz val="9"/>
        <rFont val="Noto Sans CJK SC"/>
        <family val="2"/>
      </rPr>
      <t xml:space="preserve">步中某一步首次失败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观察是否自动重试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恢复条件后观察升级结果</t>
    </r>
  </si>
  <si>
    <r>
      <rPr>
        <sz val="9"/>
        <rFont val="Noto Sans CJK SC"/>
        <family val="2"/>
      </rPr>
      <t xml:space="preserve">自动重试，第 </t>
    </r>
    <r>
      <rPr>
        <sz val="9"/>
        <rFont val="Microsoft YaHei"/>
        <family val="0"/>
        <charset val="1"/>
      </rPr>
      <t xml:space="preserve">2 </t>
    </r>
    <r>
      <rPr>
        <sz val="9"/>
        <rFont val="Noto Sans CJK SC"/>
        <family val="2"/>
      </rPr>
      <t xml:space="preserve">次成功后升级继续完成，过程状态可见</t>
    </r>
  </si>
  <si>
    <t xml:space="preserve">升级日志、平台升级记录</t>
  </si>
  <si>
    <r>
      <rPr>
        <sz val="9"/>
        <color rgb="FFB54708"/>
        <rFont val="Microsoft YaHei"/>
        <family val="0"/>
        <charset val="1"/>
      </rPr>
      <t xml:space="preserve">4 </t>
    </r>
    <r>
      <rPr>
        <sz val="9"/>
        <color rgb="FFB54708"/>
        <rFont val="Noto Sans CJK SC"/>
        <family val="2"/>
      </rPr>
      <t xml:space="preserve">步定义待确认；</t>
    </r>
    <r>
      <rPr>
        <sz val="9"/>
        <color rgb="FFB54708"/>
        <rFont val="Microsoft YaHei"/>
        <family val="0"/>
        <charset val="1"/>
      </rPr>
      <t xml:space="preserve">AS-09</t>
    </r>
  </si>
  <si>
    <t xml:space="preserve">NEW-41</t>
  </si>
  <si>
    <t xml:space="preserve">可使同一步连续失败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</si>
  <si>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使同一步连续失败 </t>
    </r>
    <r>
      <rPr>
        <sz val="9"/>
        <rFont val="Microsoft YaHei"/>
        <family val="0"/>
        <charset val="1"/>
      </rPr>
      <t xml:space="preserve">3 </t>
    </r>
    <r>
      <rPr>
        <sz val="9"/>
        <rFont val="Noto Sans CJK SC"/>
        <family val="2"/>
      </rPr>
      <t xml:space="preserve">次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观察重试与终态</t>
    </r>
  </si>
  <si>
    <t xml:space="preserve">停止重试，判定升级失败并上报，不无限重试</t>
  </si>
  <si>
    <t xml:space="preserve">升级日志、平台</t>
  </si>
  <si>
    <t xml:space="preserve">NEW-42</t>
  </si>
  <si>
    <t xml:space="preserve">升级中可断网并恢复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</si>
  <si>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升级中断网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恢复网络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观察重试与升级结果</t>
    </r>
  </si>
  <si>
    <t xml:space="preserve">按重试机制恢复，升级完成或明确失败；状态在平台可见</t>
  </si>
  <si>
    <t xml:space="preserve">NEW-43</t>
  </si>
  <si>
    <t xml:space="preserve">升级中可断电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</si>
  <si>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升级中断电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重新上电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观察升级状态</t>
    </r>
  </si>
  <si>
    <r>
      <rPr>
        <sz val="9"/>
        <rFont val="Noto Sans CJK SC"/>
        <family val="2"/>
      </rPr>
      <t xml:space="preserve">重启后升级状态正确（续传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重来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失败），设备不砖机，可再次升级</t>
    </r>
  </si>
  <si>
    <t xml:space="preserve">断点策略待确认</t>
  </si>
  <si>
    <t xml:space="preserve">NEW-44</t>
  </si>
  <si>
    <r>
      <rPr>
        <sz val="9"/>
        <rFont val="Noto Sans CJK SC"/>
        <family val="2"/>
      </rPr>
      <t xml:space="preserve">本次</t>
    </r>
    <r>
      <rPr>
        <sz val="9"/>
        <rFont val="Microsoft YaHei"/>
        <family val="0"/>
        <charset val="1"/>
      </rPr>
      <t xml:space="preserve">-</t>
    </r>
    <r>
      <rPr>
        <sz val="9"/>
        <rFont val="Noto Sans CJK SC"/>
        <family val="2"/>
      </rPr>
      <t xml:space="preserve">修复</t>
    </r>
    <r>
      <rPr>
        <sz val="9"/>
        <rFont val="Microsoft YaHei"/>
        <family val="0"/>
        <charset val="1"/>
      </rPr>
      <t xml:space="preserve">-2 </t>
    </r>
    <r>
      <rPr>
        <sz val="9"/>
        <rFont val="Noto Sans CJK SC"/>
        <family val="2"/>
      </rPr>
      <t xml:space="preserve">去清</t>
    </r>
    <r>
      <rPr>
        <sz val="9"/>
        <rFont val="Microsoft YaHei"/>
        <family val="0"/>
        <charset val="1"/>
      </rPr>
      <t xml:space="preserve">BMS</t>
    </r>
    <r>
      <rPr>
        <sz val="9"/>
        <rFont val="Noto Sans CJK SC"/>
        <family val="2"/>
      </rPr>
      <t xml:space="preserve">历史</t>
    </r>
  </si>
  <si>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历史中已有记录；可查看历史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</si>
  <si>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记录关门前 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历史条数与内容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关门、开门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再次查看历史</t>
    </r>
  </si>
  <si>
    <t xml:space="preserve">历史记录完整保留，未被清除；平台查询结果一致</t>
  </si>
  <si>
    <r>
      <rPr>
        <sz val="9"/>
        <rFont val="Noto Sans CJK SC"/>
        <family val="2"/>
      </rPr>
      <t xml:space="preserve">平台 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历史页、本地日志</t>
    </r>
  </si>
  <si>
    <t xml:space="preserve">历史查看入口待确认</t>
  </si>
  <si>
    <t xml:space="preserve">NEW-45</t>
  </si>
  <si>
    <r>
      <rPr>
        <sz val="9"/>
        <rFont val="Noto Sans CJK SC"/>
        <family val="2"/>
      </rPr>
      <t xml:space="preserve">升级前已有 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历史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</si>
  <si>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记录升级前历史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完成一次固件升级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对比历史</t>
    </r>
  </si>
  <si>
    <r>
      <rPr>
        <sz val="9"/>
        <rFont val="Noto Sans CJK SC"/>
        <family val="2"/>
      </rPr>
      <t xml:space="preserve">升级不清除 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历史，记录连续</t>
    </r>
  </si>
  <si>
    <t xml:space="preserve">平台历史页、日志</t>
  </si>
  <si>
    <t xml:space="preserve">NEW-46</t>
  </si>
  <si>
    <t xml:space="preserve">可连续开关门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</si>
  <si>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连续开关门 </t>
    </r>
    <r>
      <rPr>
        <sz val="9"/>
        <rFont val="Microsoft YaHei"/>
        <family val="0"/>
        <charset val="1"/>
      </rPr>
      <t xml:space="preserve">5 </t>
    </r>
    <r>
      <rPr>
        <sz val="9"/>
        <rFont val="Noto Sans CJK SC"/>
        <family val="2"/>
      </rPr>
      <t xml:space="preserve">次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查看 </t>
    </r>
    <r>
      <rPr>
        <sz val="9"/>
        <rFont val="Microsoft YaHei"/>
        <family val="0"/>
        <charset val="1"/>
      </rPr>
      <t xml:space="preserve">BMS </t>
    </r>
    <r>
      <rPr>
        <sz val="9"/>
        <rFont val="Noto Sans CJK SC"/>
        <family val="2"/>
      </rPr>
      <t xml:space="preserve">历史</t>
    </r>
  </si>
  <si>
    <t xml:space="preserve">历史持续累计，无清空、无丢失</t>
  </si>
  <si>
    <t xml:space="preserve">NEW-47</t>
  </si>
  <si>
    <t xml:space="preserve">网络通信</t>
  </si>
  <si>
    <r>
      <rPr>
        <sz val="9"/>
        <rFont val="Noto Sans CJK SC"/>
        <family val="2"/>
      </rPr>
      <t xml:space="preserve">本次</t>
    </r>
    <r>
      <rPr>
        <sz val="9"/>
        <rFont val="Microsoft YaHei"/>
        <family val="0"/>
        <charset val="1"/>
      </rPr>
      <t xml:space="preserve">-</t>
    </r>
    <r>
      <rPr>
        <sz val="9"/>
        <rFont val="Noto Sans CJK SC"/>
        <family val="2"/>
      </rPr>
      <t xml:space="preserve">修复</t>
    </r>
    <r>
      <rPr>
        <sz val="9"/>
        <rFont val="Microsoft YaHei"/>
        <family val="0"/>
        <charset val="1"/>
      </rPr>
      <t xml:space="preserve">-3 </t>
    </r>
    <r>
      <rPr>
        <sz val="9"/>
        <rFont val="Noto Sans CJK SC"/>
        <family val="2"/>
      </rPr>
      <t xml:space="preserve">网络优化</t>
    </r>
  </si>
  <si>
    <r>
      <rPr>
        <sz val="9"/>
        <rFont val="Noto Sans CJK SC"/>
        <family val="2"/>
      </rPr>
      <t xml:space="preserve">可构造弱网（远距离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屏蔽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丢包路由器）</t>
    </r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</si>
  <si>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使网络丢包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延迟升高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观察连接与重连日志 </t>
    </r>
    <r>
      <rPr>
        <sz val="9"/>
        <rFont val="Microsoft YaHei"/>
        <family val="0"/>
        <charset val="1"/>
      </rPr>
      <t xml:space="preserve">10 </t>
    </r>
    <r>
      <rPr>
        <sz val="9"/>
        <rFont val="Noto Sans CJK SC"/>
        <family val="2"/>
      </rPr>
      <t xml:space="preserve">分钟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恢复网络观察业务</t>
    </r>
  </si>
  <si>
    <t xml:space="preserve">重连间隔符合规格，无秒级高频重连；网络恢复后业务可用</t>
  </si>
  <si>
    <t xml:space="preserve">终端日志、路由器、平台在线状态</t>
  </si>
  <si>
    <r>
      <rPr>
        <sz val="9"/>
        <color rgb="FFB54708"/>
        <rFont val="Noto Sans CJK SC"/>
        <family val="2"/>
      </rPr>
      <t xml:space="preserve">指标待确认；</t>
    </r>
    <r>
      <rPr>
        <sz val="9"/>
        <color rgb="FFB54708"/>
        <rFont val="Microsoft YaHei"/>
        <family val="0"/>
        <charset val="1"/>
      </rPr>
      <t xml:space="preserve">AS-10</t>
    </r>
  </si>
  <si>
    <t xml:space="preserve">NEW-48</t>
  </si>
  <si>
    <t xml:space="preserve">可断网并恢复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</si>
  <si>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断网 </t>
    </r>
    <r>
      <rPr>
        <sz val="9"/>
        <rFont val="Microsoft YaHei"/>
        <family val="0"/>
        <charset val="1"/>
      </rPr>
      <t xml:space="preserve">5 </t>
    </r>
    <r>
      <rPr>
        <sz val="9"/>
        <rFont val="Noto Sans CJK SC"/>
        <family val="2"/>
      </rPr>
      <t xml:space="preserve">分钟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恢复网络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观察连接数、会话、补报</t>
    </r>
  </si>
  <si>
    <r>
      <rPr>
        <sz val="9"/>
        <rFont val="Noto Sans CJK SC"/>
        <family val="2"/>
      </rPr>
      <t xml:space="preserve">单次连接成功，无重复连接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多会话；数据与告警补报正常</t>
    </r>
  </si>
  <si>
    <r>
      <rPr>
        <sz val="9"/>
        <rFont val="Noto Sans CJK SC"/>
        <family val="2"/>
      </rPr>
      <t xml:space="preserve">终端日志、平台、</t>
    </r>
    <r>
      <rPr>
        <sz val="9"/>
        <rFont val="Microsoft YaHei"/>
        <family val="0"/>
        <charset val="1"/>
      </rPr>
      <t xml:space="preserve">MQTT </t>
    </r>
    <r>
      <rPr>
        <sz val="9"/>
        <rFont val="Noto Sans CJK SC"/>
        <family val="2"/>
      </rPr>
      <t xml:space="preserve">报文</t>
    </r>
  </si>
  <si>
    <t xml:space="preserve">NEW-49</t>
  </si>
  <si>
    <t xml:space="preserve">可长时间断网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</si>
  <si>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断网 </t>
    </r>
    <r>
      <rPr>
        <sz val="9"/>
        <rFont val="Microsoft YaHei"/>
        <family val="0"/>
        <charset val="1"/>
      </rPr>
      <t xml:space="preserve">30 </t>
    </r>
    <r>
      <rPr>
        <sz val="9"/>
        <rFont val="Noto Sans CJK SC"/>
        <family val="2"/>
      </rPr>
      <t xml:space="preserve">分钟以上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观察重试频率与资源占用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恢复网络</t>
    </r>
  </si>
  <si>
    <r>
      <rPr>
        <sz val="9"/>
        <rFont val="Noto Sans CJK SC"/>
        <family val="2"/>
      </rPr>
      <t xml:space="preserve">按退避策略重试，无连接风暴</t>
    </r>
    <r>
      <rPr>
        <sz val="9"/>
        <rFont val="Microsoft YaHei"/>
        <family val="0"/>
        <charset val="1"/>
      </rPr>
      <t xml:space="preserve">/</t>
    </r>
    <r>
      <rPr>
        <sz val="9"/>
        <rFont val="Noto Sans CJK SC"/>
        <family val="2"/>
      </rPr>
      <t xml:space="preserve">资源耗尽；恢复后正常</t>
    </r>
  </si>
  <si>
    <t xml:space="preserve">终端日志、系统资源、平台</t>
  </si>
  <si>
    <t xml:space="preserve">退避策略待确认</t>
  </si>
  <si>
    <t xml:space="preserve">NEW-50</t>
  </si>
  <si>
    <t xml:space="preserve">断网期间可产生并恢复告警</t>
  </si>
  <si>
    <r>
      <rPr>
        <sz val="9"/>
        <rFont val="Microsoft YaHei"/>
        <family val="0"/>
        <charset val="1"/>
      </rPr>
      <t xml:space="preserve">1. </t>
    </r>
    <r>
      <rPr>
        <sz val="9"/>
        <rFont val="Noto Sans CJK SC"/>
        <family val="2"/>
      </rPr>
      <t xml:space="preserve">断网期间产生告警并恢复
</t>
    </r>
    <r>
      <rPr>
        <sz val="9"/>
        <rFont val="Microsoft YaHei"/>
        <family val="0"/>
        <charset val="1"/>
      </rPr>
      <t xml:space="preserve">2. </t>
    </r>
    <r>
      <rPr>
        <sz val="9"/>
        <rFont val="Noto Sans CJK SC"/>
        <family val="2"/>
      </rPr>
      <t xml:space="preserve">网络恢复
</t>
    </r>
    <r>
      <rPr>
        <sz val="9"/>
        <rFont val="Microsoft YaHei"/>
        <family val="0"/>
        <charset val="1"/>
      </rPr>
      <t xml:space="preserve">3. </t>
    </r>
    <r>
      <rPr>
        <sz val="9"/>
        <rFont val="Noto Sans CJK SC"/>
        <family val="2"/>
      </rPr>
      <t xml:space="preserve">查看平台最终状态</t>
    </r>
  </si>
  <si>
    <t xml:space="preserve">平台最终状态与终端一致，无丢失、无重复</t>
  </si>
  <si>
    <r>
      <rPr>
        <b val="true"/>
        <sz val="9"/>
        <color rgb="FFB42318"/>
        <rFont val="Microsoft YaHei"/>
        <family val="0"/>
        <charset val="1"/>
      </rPr>
      <t xml:space="preserve">ACK </t>
    </r>
    <r>
      <rPr>
        <b val="true"/>
        <sz val="9"/>
        <color rgb="FFB42318"/>
        <rFont val="Noto Sans CJK SC"/>
        <family val="2"/>
      </rPr>
      <t xml:space="preserve">异常依赖 </t>
    </r>
    <r>
      <rPr>
        <b val="true"/>
        <sz val="9"/>
        <color rgb="FFB42318"/>
        <rFont val="Microsoft YaHei"/>
        <family val="0"/>
        <charset val="1"/>
      </rPr>
      <t xml:space="preserve">BL-01</t>
    </r>
  </si>
  <si>
    <t xml:space="preserve">关联用例</t>
  </si>
  <si>
    <t xml:space="preserve">发现时间</t>
  </si>
  <si>
    <t xml:space="preserve">严重级别</t>
  </si>
  <si>
    <t xml:space="preserve">缺陷描述</t>
  </si>
  <si>
    <t xml:space="preserve">复现步骤</t>
  </si>
  <si>
    <r>
      <rPr>
        <b val="true"/>
        <sz val="11"/>
        <color rgb="FFFFFFFF"/>
        <rFont val="Noto Sans CJK SC"/>
        <family val="2"/>
      </rPr>
      <t xml:space="preserve">日志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抓包</t>
    </r>
  </si>
  <si>
    <t xml:space="preserve">当前状态</t>
  </si>
  <si>
    <t xml:space="preserve">提交人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</si>
</sst>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Microsoft YaHei"/>
      <family val="0"/>
      <charset val="1"/>
    </font>
    <font>
      <b val="true"/>
      <sz val="18"/>
      <color rgb="FFFFFFFF"/>
      <name val="Noto Sans CJK SC"/>
      <family val="2"/>
    </font>
    <font>
      <b val="true"/>
      <sz val="11"/>
      <name val="Noto Sans CJK SC"/>
      <family val="2"/>
    </font>
    <font>
      <sz val="11"/>
      <name val="Microsoft YaHei"/>
      <family val="0"/>
      <charset val="1"/>
    </font>
    <font>
      <sz val="11"/>
      <name val="Noto Sans CJK SC"/>
      <family val="2"/>
    </font>
    <font>
      <b val="true"/>
      <sz val="11"/>
      <color rgb="FF1F3864"/>
      <name val="Noto Sans CJK SC"/>
      <family val="2"/>
    </font>
    <font>
      <b val="true"/>
      <sz val="11"/>
      <color rgb="FF1F3864"/>
      <name val="Microsoft YaHei"/>
      <family val="0"/>
      <charset val="1"/>
    </font>
    <font>
      <b val="true"/>
      <sz val="11"/>
      <name val="Microsoft YaHei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Microsoft YaHei"/>
      <family val="0"/>
      <charset val="1"/>
    </font>
    <font>
      <sz val="9"/>
      <name val="Microsoft YaHei"/>
      <family val="0"/>
      <charset val="1"/>
    </font>
    <font>
      <sz val="9"/>
      <name val="Noto Sans CJK SC"/>
      <family val="2"/>
    </font>
    <font>
      <sz val="10"/>
      <name val="Microsoft YaHei"/>
      <family val="0"/>
      <charset val="1"/>
    </font>
    <font>
      <sz val="10"/>
      <name val="Noto Sans CJK SC"/>
      <family val="2"/>
    </font>
    <font>
      <b val="true"/>
      <sz val="9"/>
      <color rgb="FFB42318"/>
      <name val="Microsoft YaHei"/>
      <family val="0"/>
      <charset val="1"/>
    </font>
    <font>
      <b val="true"/>
      <sz val="9"/>
      <color rgb="FFB54708"/>
      <name val="Microsoft YaHei"/>
      <family val="0"/>
      <charset val="1"/>
    </font>
    <font>
      <sz val="9"/>
      <color rgb="FFB54708"/>
      <name val="Noto Sans CJK SC"/>
      <family val="2"/>
    </font>
    <font>
      <b val="true"/>
      <sz val="9"/>
      <color rgb="FFB42318"/>
      <name val="Noto Sans CJK SC"/>
      <family val="2"/>
    </font>
    <font>
      <sz val="9"/>
      <color rgb="FFB54708"/>
      <name val="Microsoft YaHei"/>
      <family val="0"/>
      <charset val="1"/>
    </font>
    <font>
      <b val="true"/>
      <sz val="9"/>
      <color rgb="FF475467"/>
      <name val="Microsoft YaHe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DEE7"/>
      </patternFill>
    </fill>
    <fill>
      <patternFill patternType="solid">
        <fgColor rgb="FFEAF2FF"/>
        <bgColor rgb="FFF2F4F7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2F4F7"/>
      </patternFill>
    </fill>
    <fill>
      <patternFill patternType="solid">
        <fgColor rgb="FFFFF8E1"/>
        <bgColor rgb="FFFFF4E5"/>
      </patternFill>
    </fill>
    <fill>
      <patternFill patternType="solid">
        <fgColor rgb="FFFDECEA"/>
        <bgColor rgb="FFFFF4E5"/>
      </patternFill>
    </fill>
    <fill>
      <patternFill patternType="solid">
        <fgColor rgb="FFFFF4E5"/>
        <bgColor rgb="FFFFF8E1"/>
      </patternFill>
    </fill>
    <fill>
      <patternFill patternType="solid">
        <fgColor rgb="FFF2F4F7"/>
        <bgColor rgb="FFF7F9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FF4E5"/>
          <bgColor rgb="FF000000"/>
        </patternFill>
      </fill>
    </dxf>
    <dxf>
      <fill>
        <patternFill patternType="solid">
          <fgColor rgb="FF475467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B54708"/>
          <bgColor rgb="FF000000"/>
        </patternFill>
      </fill>
    </dxf>
    <dxf>
      <fill>
        <patternFill patternType="solid">
          <fgColor rgb="FFFFF8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7F9FC"/>
      <rgbColor rgb="FF808080"/>
      <rgbColor rgb="FF9999FF"/>
      <rgbColor rgb="FFB54708"/>
      <rgbColor rgb="FFFFF8E1"/>
      <rgbColor rgb="FFEAF2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F2F4F7"/>
      <rgbColor rgb="FFFFF4E5"/>
      <rgbColor rgb="FF99CCFF"/>
      <rgbColor rgb="FFFF99CC"/>
      <rgbColor rgb="FFCC99FF"/>
      <rgbColor rgb="FFFDECEA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1F3864"/>
      <rgbColor rgb="FF339966"/>
      <rgbColor rgb="FF00330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8"/>
    <col collapsed="false" customWidth="true" hidden="false" outlineLevel="0" max="3" min="3" style="0" width="38"/>
    <col collapsed="false" customWidth="true" hidden="false" outlineLevel="0" max="4" min="4" style="0" width="34"/>
    <col collapsed="false" customWidth="true" hidden="false" outlineLevel="0" max="5" min="5" style="0" width="20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</row>
    <row r="2" customFormat="false" ht="30" hidden="false" customHeight="true" outlineLevel="0" collapsed="false">
      <c r="A2" s="2" t="s">
        <v>1</v>
      </c>
      <c r="B2" s="3" t="s">
        <v>2</v>
      </c>
      <c r="C2" s="3"/>
      <c r="D2" s="3"/>
      <c r="E2" s="3"/>
    </row>
    <row r="3" customFormat="false" ht="30" hidden="false" customHeight="true" outlineLevel="0" collapsed="false">
      <c r="A3" s="2" t="s">
        <v>3</v>
      </c>
      <c r="B3" s="4" t="s">
        <v>4</v>
      </c>
      <c r="C3" s="4"/>
      <c r="D3" s="4"/>
      <c r="E3" s="4"/>
    </row>
    <row r="4" customFormat="false" ht="30" hidden="false" customHeight="true" outlineLevel="0" collapsed="false">
      <c r="A4" s="2" t="s">
        <v>5</v>
      </c>
      <c r="B4" s="4" t="s">
        <v>6</v>
      </c>
      <c r="C4" s="4"/>
      <c r="D4" s="4"/>
      <c r="E4" s="4"/>
    </row>
    <row r="5" customFormat="false" ht="30" hidden="false" customHeight="true" outlineLevel="0" collapsed="false">
      <c r="A5" s="2" t="s">
        <v>7</v>
      </c>
      <c r="B5" s="3" t="s">
        <v>8</v>
      </c>
      <c r="C5" s="3"/>
      <c r="D5" s="3"/>
      <c r="E5" s="3"/>
    </row>
    <row r="6" customFormat="false" ht="30" hidden="false" customHeight="true" outlineLevel="0" collapsed="false">
      <c r="A6" s="2" t="s">
        <v>9</v>
      </c>
      <c r="B6" s="3" t="s">
        <v>10</v>
      </c>
      <c r="C6" s="3"/>
      <c r="D6" s="3"/>
      <c r="E6" s="3"/>
    </row>
    <row r="7" customFormat="false" ht="30" hidden="false" customHeight="true" outlineLevel="0" collapsed="false">
      <c r="A7" s="2" t="s">
        <v>11</v>
      </c>
      <c r="B7" s="4" t="s">
        <v>12</v>
      </c>
      <c r="C7" s="4"/>
      <c r="D7" s="4"/>
      <c r="E7" s="4"/>
    </row>
    <row r="8" customFormat="false" ht="30" hidden="false" customHeight="true" outlineLevel="0" collapsed="false">
      <c r="A8" s="2" t="s">
        <v>13</v>
      </c>
      <c r="B8" s="4" t="s">
        <v>14</v>
      </c>
      <c r="C8" s="4"/>
      <c r="D8" s="4"/>
      <c r="E8" s="4"/>
    </row>
    <row r="9" customFormat="false" ht="30" hidden="false" customHeight="true" outlineLevel="0" collapsed="false">
      <c r="A9" s="2" t="s">
        <v>15</v>
      </c>
      <c r="B9" s="4" t="s">
        <v>16</v>
      </c>
      <c r="C9" s="4"/>
      <c r="D9" s="4"/>
      <c r="E9" s="4"/>
    </row>
    <row r="11" customFormat="false" ht="24" hidden="false" customHeight="true" outlineLevel="0" collapsed="false">
      <c r="A11" s="5" t="s">
        <v>17</v>
      </c>
      <c r="B11" s="5"/>
      <c r="C11" s="5"/>
      <c r="D11" s="5"/>
      <c r="E11" s="5"/>
    </row>
    <row r="12" customFormat="false" ht="21.75" hidden="false" customHeight="true" outlineLevel="0" collapsed="false">
      <c r="A12" s="2" t="s">
        <v>18</v>
      </c>
      <c r="B12" s="6" t="n">
        <f aca="false">COUNTA(冒烟回归用例!$A$2:$A$1000)+COUNTA(新增功能用例!$A$2:$A$1000)</f>
        <v>69</v>
      </c>
      <c r="C12" s="7" t="s">
        <v>19</v>
      </c>
      <c r="D12" s="6" t="n">
        <f aca="false">COUNTIF(冒烟回归用例!$E$2:$E$1000,"P0")+COUNTIF(新增功能用例!$E$2:$E$1000,"P0")</f>
        <v>29</v>
      </c>
    </row>
    <row r="13" customFormat="false" ht="21.75" hidden="false" customHeight="true" outlineLevel="0" collapsed="false">
      <c r="A13" s="2" t="s">
        <v>20</v>
      </c>
      <c r="B13" s="6" t="n">
        <f aca="false">COUNTA(冒烟回归用例!$A$2:$A$1000)</f>
        <v>19</v>
      </c>
      <c r="C13" s="7" t="s">
        <v>21</v>
      </c>
      <c r="D13" s="6" t="n">
        <f aca="false">COUNTIF(冒烟回归用例!$E$2:$E$1000,"P1")+COUNTIF(新增功能用例!$E$2:$E$1000,"P1")</f>
        <v>29</v>
      </c>
    </row>
    <row r="14" customFormat="false" ht="21.75" hidden="false" customHeight="true" outlineLevel="0" collapsed="false">
      <c r="A14" s="2" t="s">
        <v>22</v>
      </c>
      <c r="B14" s="6" t="n">
        <f aca="false">COUNTA(新增功能用例!$A$2:$A$1000)</f>
        <v>50</v>
      </c>
      <c r="C14" s="7" t="s">
        <v>23</v>
      </c>
      <c r="D14" s="6" t="n">
        <f aca="false">COUNTIF(冒烟回归用例!$E$2:$E$1000,"P2")+COUNTIF(新增功能用例!$E$2:$E$1000,"P2")</f>
        <v>11</v>
      </c>
    </row>
    <row r="16" customFormat="false" ht="24" hidden="false" customHeight="true" outlineLevel="0" collapsed="false">
      <c r="A16" s="5" t="s">
        <v>24</v>
      </c>
      <c r="B16" s="5"/>
      <c r="C16" s="5"/>
      <c r="D16" s="5"/>
      <c r="E16" s="5"/>
    </row>
    <row r="17" customFormat="false" ht="21.75" hidden="false" customHeight="true" outlineLevel="0" collapsed="false">
      <c r="A17" s="7" t="s">
        <v>19</v>
      </c>
      <c r="B17" s="4" t="s">
        <v>25</v>
      </c>
      <c r="C17" s="4"/>
      <c r="D17" s="4"/>
      <c r="E17" s="4"/>
    </row>
    <row r="18" customFormat="false" ht="21.75" hidden="false" customHeight="true" outlineLevel="0" collapsed="false">
      <c r="A18" s="7" t="s">
        <v>21</v>
      </c>
      <c r="B18" s="4" t="s">
        <v>26</v>
      </c>
      <c r="C18" s="4"/>
      <c r="D18" s="4"/>
      <c r="E18" s="4"/>
    </row>
    <row r="19" customFormat="false" ht="21.75" hidden="false" customHeight="true" outlineLevel="0" collapsed="false">
      <c r="A19" s="7" t="s">
        <v>23</v>
      </c>
      <c r="B19" s="4" t="s">
        <v>27</v>
      </c>
      <c r="C19" s="4"/>
      <c r="D19" s="4"/>
      <c r="E19" s="4"/>
    </row>
    <row r="21" customFormat="false" ht="24" hidden="false" customHeight="true" outlineLevel="0" collapsed="false">
      <c r="A21" s="5" t="s">
        <v>28</v>
      </c>
      <c r="B21" s="5"/>
      <c r="C21" s="5"/>
      <c r="D21" s="5"/>
      <c r="E21" s="5"/>
    </row>
    <row r="22" customFormat="false" ht="17.15" hidden="false" customHeight="false" outlineLevel="0" collapsed="false">
      <c r="A22" s="8" t="s">
        <v>29</v>
      </c>
      <c r="B22" s="8" t="s">
        <v>30</v>
      </c>
      <c r="C22" s="8" t="s">
        <v>31</v>
      </c>
      <c r="D22" s="8" t="s">
        <v>32</v>
      </c>
      <c r="E22" s="8" t="s">
        <v>33</v>
      </c>
    </row>
    <row r="23" customFormat="false" ht="33.75" hidden="false" customHeight="true" outlineLevel="0" collapsed="false">
      <c r="A23" s="9" t="s">
        <v>34</v>
      </c>
      <c r="B23" s="10" t="s">
        <v>35</v>
      </c>
      <c r="C23" s="10" t="s">
        <v>36</v>
      </c>
      <c r="D23" s="9" t="s">
        <v>37</v>
      </c>
      <c r="E23" s="10" t="s">
        <v>38</v>
      </c>
    </row>
    <row r="24" customFormat="false" ht="33.75" hidden="false" customHeight="true" outlineLevel="0" collapsed="false">
      <c r="A24" s="11" t="s">
        <v>39</v>
      </c>
      <c r="B24" s="12" t="s">
        <v>40</v>
      </c>
      <c r="C24" s="12" t="s">
        <v>41</v>
      </c>
      <c r="D24" s="11" t="s">
        <v>42</v>
      </c>
      <c r="E24" s="12" t="s">
        <v>38</v>
      </c>
    </row>
    <row r="25" customFormat="false" ht="33.75" hidden="false" customHeight="true" outlineLevel="0" collapsed="false">
      <c r="A25" s="9" t="s">
        <v>43</v>
      </c>
      <c r="B25" s="9" t="s">
        <v>44</v>
      </c>
      <c r="C25" s="10" t="s">
        <v>45</v>
      </c>
      <c r="D25" s="9" t="s">
        <v>46</v>
      </c>
      <c r="E25" s="10" t="s">
        <v>38</v>
      </c>
    </row>
    <row r="26" customFormat="false" ht="33.75" hidden="false" customHeight="true" outlineLevel="0" collapsed="false">
      <c r="A26" s="11" t="s">
        <v>47</v>
      </c>
      <c r="B26" s="12" t="s">
        <v>48</v>
      </c>
      <c r="C26" s="12" t="s">
        <v>49</v>
      </c>
      <c r="D26" s="11" t="s">
        <v>50</v>
      </c>
      <c r="E26" s="12" t="s">
        <v>38</v>
      </c>
    </row>
    <row r="27" customFormat="false" ht="33.75" hidden="false" customHeight="true" outlineLevel="0" collapsed="false">
      <c r="A27" s="9" t="s">
        <v>51</v>
      </c>
      <c r="B27" s="9" t="s">
        <v>52</v>
      </c>
      <c r="C27" s="10" t="s">
        <v>53</v>
      </c>
      <c r="D27" s="9" t="s">
        <v>54</v>
      </c>
      <c r="E27" s="10" t="s">
        <v>38</v>
      </c>
    </row>
    <row r="28" customFormat="false" ht="33.75" hidden="false" customHeight="true" outlineLevel="0" collapsed="false">
      <c r="A28" s="11" t="s">
        <v>55</v>
      </c>
      <c r="B28" s="12" t="s">
        <v>56</v>
      </c>
      <c r="C28" s="12" t="s">
        <v>57</v>
      </c>
      <c r="D28" s="11" t="s">
        <v>58</v>
      </c>
      <c r="E28" s="12" t="s">
        <v>38</v>
      </c>
    </row>
    <row r="29" customFormat="false" ht="33.75" hidden="false" customHeight="true" outlineLevel="0" collapsed="false">
      <c r="A29" s="9" t="s">
        <v>59</v>
      </c>
      <c r="B29" s="10" t="s">
        <v>60</v>
      </c>
      <c r="C29" s="10" t="s">
        <v>61</v>
      </c>
      <c r="D29" s="9" t="s">
        <v>62</v>
      </c>
      <c r="E29" s="10" t="s">
        <v>38</v>
      </c>
    </row>
    <row r="30" customFormat="false" ht="33.75" hidden="false" customHeight="true" outlineLevel="0" collapsed="false">
      <c r="A30" s="11" t="s">
        <v>63</v>
      </c>
      <c r="B30" s="12" t="s">
        <v>64</v>
      </c>
      <c r="C30" s="12" t="s">
        <v>65</v>
      </c>
      <c r="D30" s="11" t="s">
        <v>66</v>
      </c>
      <c r="E30" s="12" t="s">
        <v>38</v>
      </c>
    </row>
    <row r="31" customFormat="false" ht="33.75" hidden="false" customHeight="true" outlineLevel="0" collapsed="false">
      <c r="A31" s="9" t="s">
        <v>67</v>
      </c>
      <c r="B31" s="10" t="s">
        <v>68</v>
      </c>
      <c r="C31" s="10" t="s">
        <v>69</v>
      </c>
      <c r="D31" s="9" t="s">
        <v>70</v>
      </c>
      <c r="E31" s="10" t="s">
        <v>38</v>
      </c>
    </row>
    <row r="32" customFormat="false" ht="33.75" hidden="false" customHeight="true" outlineLevel="0" collapsed="false">
      <c r="A32" s="11" t="s">
        <v>71</v>
      </c>
      <c r="B32" s="12" t="s">
        <v>72</v>
      </c>
      <c r="C32" s="12" t="s">
        <v>73</v>
      </c>
      <c r="D32" s="11" t="s">
        <v>74</v>
      </c>
      <c r="E32" s="12" t="s">
        <v>38</v>
      </c>
    </row>
    <row r="33" customFormat="false" ht="33.75" hidden="false" customHeight="true" outlineLevel="0" collapsed="false">
      <c r="A33" s="9" t="s">
        <v>75</v>
      </c>
      <c r="B33" s="9" t="s">
        <v>76</v>
      </c>
      <c r="C33" s="9" t="s">
        <v>77</v>
      </c>
      <c r="D33" s="9" t="s">
        <v>78</v>
      </c>
      <c r="E33" s="10" t="s">
        <v>38</v>
      </c>
    </row>
    <row r="34" customFormat="false" ht="33.75" hidden="false" customHeight="true" outlineLevel="0" collapsed="false">
      <c r="A34" s="11" t="s">
        <v>79</v>
      </c>
      <c r="B34" s="12" t="s">
        <v>80</v>
      </c>
      <c r="C34" s="12" t="s">
        <v>81</v>
      </c>
      <c r="D34" s="11" t="s">
        <v>42</v>
      </c>
      <c r="E34" s="12" t="s">
        <v>38</v>
      </c>
    </row>
    <row r="36" customFormat="false" ht="24" hidden="false" customHeight="true" outlineLevel="0" collapsed="false">
      <c r="A36" s="5" t="s">
        <v>82</v>
      </c>
      <c r="B36" s="5"/>
      <c r="C36" s="5"/>
      <c r="D36" s="5"/>
      <c r="E36" s="5"/>
    </row>
    <row r="37" customFormat="false" ht="17.15" hidden="false" customHeight="false" outlineLevel="0" collapsed="false">
      <c r="A37" s="8" t="s">
        <v>29</v>
      </c>
      <c r="B37" s="8" t="s">
        <v>83</v>
      </c>
      <c r="C37" s="8" t="s">
        <v>32</v>
      </c>
      <c r="D37" s="8" t="s">
        <v>84</v>
      </c>
    </row>
    <row r="38" customFormat="false" ht="39.75" hidden="false" customHeight="true" outlineLevel="0" collapsed="false">
      <c r="A38" s="13" t="s">
        <v>85</v>
      </c>
      <c r="B38" s="13" t="s">
        <v>86</v>
      </c>
      <c r="C38" s="13" t="s">
        <v>87</v>
      </c>
      <c r="D38" s="14" t="s">
        <v>88</v>
      </c>
    </row>
    <row r="39" customFormat="false" ht="39.75" hidden="false" customHeight="true" outlineLevel="0" collapsed="false">
      <c r="A39" s="13" t="s">
        <v>89</v>
      </c>
      <c r="B39" s="14" t="s">
        <v>90</v>
      </c>
      <c r="C39" s="13" t="s">
        <v>42</v>
      </c>
      <c r="D39" s="14" t="s">
        <v>91</v>
      </c>
    </row>
    <row r="40" customFormat="false" ht="39.75" hidden="false" customHeight="true" outlineLevel="0" collapsed="false">
      <c r="A40" s="13" t="s">
        <v>92</v>
      </c>
      <c r="B40" s="14" t="s">
        <v>93</v>
      </c>
      <c r="C40" s="13" t="s">
        <v>62</v>
      </c>
      <c r="D40" s="14" t="s">
        <v>94</v>
      </c>
    </row>
    <row r="41" customFormat="false" ht="39.75" hidden="false" customHeight="true" outlineLevel="0" collapsed="false">
      <c r="A41" s="13" t="s">
        <v>95</v>
      </c>
      <c r="B41" s="13" t="s">
        <v>96</v>
      </c>
      <c r="C41" s="13" t="s">
        <v>97</v>
      </c>
      <c r="D41" s="14" t="s">
        <v>98</v>
      </c>
    </row>
    <row r="43" customFormat="false" ht="24" hidden="false" customHeight="true" outlineLevel="0" collapsed="false">
      <c r="A43" s="5" t="s">
        <v>99</v>
      </c>
      <c r="B43" s="5"/>
      <c r="C43" s="5"/>
      <c r="D43" s="5"/>
      <c r="E43" s="5"/>
    </row>
    <row r="44" customFormat="false" ht="19.5" hidden="false" customHeight="true" outlineLevel="0" collapsed="false">
      <c r="A44" s="15" t="s">
        <v>100</v>
      </c>
      <c r="B44" s="15"/>
      <c r="C44" s="15"/>
      <c r="D44" s="15"/>
      <c r="E44" s="15"/>
    </row>
    <row r="45" customFormat="false" ht="19.5" hidden="false" customHeight="true" outlineLevel="0" collapsed="false">
      <c r="A45" s="15" t="s">
        <v>101</v>
      </c>
      <c r="B45" s="15"/>
      <c r="C45" s="15"/>
      <c r="D45" s="15"/>
      <c r="E45" s="15"/>
    </row>
    <row r="46" customFormat="false" ht="19.5" hidden="false" customHeight="true" outlineLevel="0" collapsed="false">
      <c r="A46" s="15" t="s">
        <v>102</v>
      </c>
      <c r="B46" s="15"/>
      <c r="C46" s="15"/>
      <c r="D46" s="15"/>
      <c r="E46" s="15"/>
    </row>
    <row r="47" customFormat="false" ht="19.5" hidden="false" customHeight="true" outlineLevel="0" collapsed="false">
      <c r="A47" s="15" t="s">
        <v>103</v>
      </c>
      <c r="B47" s="15"/>
      <c r="C47" s="15"/>
      <c r="D47" s="15"/>
      <c r="E47" s="15"/>
    </row>
    <row r="48" customFormat="false" ht="19.5" hidden="false" customHeight="true" outlineLevel="0" collapsed="false">
      <c r="A48" s="15" t="s">
        <v>104</v>
      </c>
      <c r="B48" s="15"/>
      <c r="C48" s="15"/>
      <c r="D48" s="15"/>
      <c r="E48" s="15"/>
    </row>
    <row r="49" customFormat="false" ht="19.5" hidden="false" customHeight="true" outlineLevel="0" collapsed="false">
      <c r="A49" s="15" t="s">
        <v>105</v>
      </c>
      <c r="B49" s="15"/>
      <c r="C49" s="15"/>
      <c r="D49" s="15"/>
      <c r="E49" s="15"/>
    </row>
  </sheetData>
  <mergeCells count="23">
    <mergeCell ref="A1:E1"/>
    <mergeCell ref="B2:E2"/>
    <mergeCell ref="B3:E3"/>
    <mergeCell ref="B4:E4"/>
    <mergeCell ref="B5:E5"/>
    <mergeCell ref="B6:E6"/>
    <mergeCell ref="B7:E7"/>
    <mergeCell ref="B8:E8"/>
    <mergeCell ref="B9:E9"/>
    <mergeCell ref="A11:E11"/>
    <mergeCell ref="A16:E16"/>
    <mergeCell ref="B17:E17"/>
    <mergeCell ref="B18:E18"/>
    <mergeCell ref="B19:E19"/>
    <mergeCell ref="A21:E21"/>
    <mergeCell ref="A36:E36"/>
    <mergeCell ref="A43:E43"/>
    <mergeCell ref="A44:E44"/>
    <mergeCell ref="A45:E45"/>
    <mergeCell ref="A46:E46"/>
    <mergeCell ref="A47:E47"/>
    <mergeCell ref="A48:E48"/>
    <mergeCell ref="A49:E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52"/>
    <col collapsed="false" customWidth="true" hidden="false" outlineLevel="0" max="8" min="8" style="0" width="44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26"/>
  </cols>
  <sheetData>
    <row r="1" customFormat="false" ht="30" hidden="false" customHeight="true" outlineLevel="0" collapsed="false">
      <c r="A1" s="8" t="s">
        <v>106</v>
      </c>
      <c r="B1" s="8" t="s">
        <v>107</v>
      </c>
      <c r="C1" s="8" t="s">
        <v>108</v>
      </c>
      <c r="D1" s="8" t="s">
        <v>109</v>
      </c>
      <c r="E1" s="8" t="s">
        <v>110</v>
      </c>
      <c r="F1" s="8" t="s">
        <v>111</v>
      </c>
      <c r="G1" s="8" t="s">
        <v>112</v>
      </c>
      <c r="H1" s="8" t="s">
        <v>113</v>
      </c>
      <c r="I1" s="8" t="s">
        <v>114</v>
      </c>
      <c r="J1" s="8" t="s">
        <v>115</v>
      </c>
      <c r="K1" s="8" t="s">
        <v>116</v>
      </c>
      <c r="L1" s="8" t="s">
        <v>117</v>
      </c>
      <c r="M1" s="8" t="s">
        <v>118</v>
      </c>
    </row>
    <row r="2" customFormat="false" ht="75.75" hidden="false" customHeight="true" outlineLevel="0" collapsed="false">
      <c r="A2" s="16" t="s">
        <v>119</v>
      </c>
      <c r="B2" s="17" t="s">
        <v>120</v>
      </c>
      <c r="C2" s="10" t="s">
        <v>121</v>
      </c>
      <c r="D2" s="17" t="s">
        <v>122</v>
      </c>
      <c r="E2" s="18" t="s">
        <v>19</v>
      </c>
      <c r="F2" s="10" t="s">
        <v>123</v>
      </c>
      <c r="G2" s="9" t="s">
        <v>124</v>
      </c>
      <c r="H2" s="9" t="s">
        <v>125</v>
      </c>
      <c r="I2" s="10" t="s">
        <v>126</v>
      </c>
      <c r="J2" s="9"/>
      <c r="K2" s="16"/>
      <c r="L2" s="16"/>
      <c r="M2" s="10" t="s">
        <v>127</v>
      </c>
    </row>
    <row r="3" customFormat="false" ht="61.5" hidden="false" customHeight="true" outlineLevel="0" collapsed="false">
      <c r="A3" s="19" t="s">
        <v>128</v>
      </c>
      <c r="B3" s="20" t="s">
        <v>120</v>
      </c>
      <c r="C3" s="12" t="s">
        <v>121</v>
      </c>
      <c r="D3" s="20" t="s">
        <v>122</v>
      </c>
      <c r="E3" s="18" t="s">
        <v>19</v>
      </c>
      <c r="F3" s="12" t="s">
        <v>129</v>
      </c>
      <c r="G3" s="11" t="s">
        <v>130</v>
      </c>
      <c r="H3" s="11" t="s">
        <v>131</v>
      </c>
      <c r="I3" s="12" t="s">
        <v>132</v>
      </c>
      <c r="J3" s="11"/>
      <c r="K3" s="19"/>
      <c r="L3" s="19"/>
      <c r="M3" s="12" t="s">
        <v>133</v>
      </c>
    </row>
    <row r="4" customFormat="false" ht="48" hidden="false" customHeight="true" outlineLevel="0" collapsed="false">
      <c r="A4" s="16" t="s">
        <v>134</v>
      </c>
      <c r="B4" s="17" t="s">
        <v>120</v>
      </c>
      <c r="C4" s="10" t="s">
        <v>121</v>
      </c>
      <c r="D4" s="17" t="s">
        <v>122</v>
      </c>
      <c r="E4" s="21" t="s">
        <v>21</v>
      </c>
      <c r="F4" s="10" t="s">
        <v>135</v>
      </c>
      <c r="G4" s="9" t="s">
        <v>136</v>
      </c>
      <c r="H4" s="10" t="s">
        <v>137</v>
      </c>
      <c r="I4" s="10" t="s">
        <v>138</v>
      </c>
      <c r="J4" s="9"/>
      <c r="K4" s="16"/>
      <c r="L4" s="16"/>
      <c r="M4" s="10" t="s">
        <v>139</v>
      </c>
    </row>
    <row r="5" customFormat="false" ht="61.5" hidden="false" customHeight="true" outlineLevel="0" collapsed="false">
      <c r="A5" s="19" t="s">
        <v>140</v>
      </c>
      <c r="B5" s="20" t="s">
        <v>141</v>
      </c>
      <c r="C5" s="12" t="s">
        <v>142</v>
      </c>
      <c r="D5" s="20" t="s">
        <v>122</v>
      </c>
      <c r="E5" s="18" t="s">
        <v>19</v>
      </c>
      <c r="F5" s="12" t="s">
        <v>143</v>
      </c>
      <c r="G5" s="11" t="s">
        <v>144</v>
      </c>
      <c r="H5" s="11" t="s">
        <v>145</v>
      </c>
      <c r="I5" s="12" t="s">
        <v>146</v>
      </c>
      <c r="J5" s="11"/>
      <c r="K5" s="19"/>
      <c r="L5" s="19"/>
      <c r="M5" s="12" t="s">
        <v>147</v>
      </c>
    </row>
    <row r="6" customFormat="false" ht="61.5" hidden="false" customHeight="true" outlineLevel="0" collapsed="false">
      <c r="A6" s="16" t="s">
        <v>148</v>
      </c>
      <c r="B6" s="17" t="s">
        <v>149</v>
      </c>
      <c r="C6" s="10" t="s">
        <v>150</v>
      </c>
      <c r="D6" s="17" t="s">
        <v>122</v>
      </c>
      <c r="E6" s="18" t="s">
        <v>19</v>
      </c>
      <c r="F6" s="10" t="s">
        <v>151</v>
      </c>
      <c r="G6" s="9" t="s">
        <v>152</v>
      </c>
      <c r="H6" s="10" t="s">
        <v>153</v>
      </c>
      <c r="I6" s="10" t="s">
        <v>154</v>
      </c>
      <c r="J6" s="9"/>
      <c r="K6" s="16"/>
      <c r="L6" s="16"/>
      <c r="M6" s="22" t="s">
        <v>155</v>
      </c>
    </row>
    <row r="7" customFormat="false" ht="48" hidden="false" customHeight="true" outlineLevel="0" collapsed="false">
      <c r="A7" s="19" t="s">
        <v>156</v>
      </c>
      <c r="B7" s="20" t="s">
        <v>149</v>
      </c>
      <c r="C7" s="12" t="s">
        <v>150</v>
      </c>
      <c r="D7" s="20" t="s">
        <v>122</v>
      </c>
      <c r="E7" s="21" t="s">
        <v>21</v>
      </c>
      <c r="F7" s="12" t="s">
        <v>157</v>
      </c>
      <c r="G7" s="11" t="s">
        <v>158</v>
      </c>
      <c r="H7" s="12" t="s">
        <v>159</v>
      </c>
      <c r="I7" s="12" t="s">
        <v>160</v>
      </c>
      <c r="J7" s="11"/>
      <c r="K7" s="19"/>
      <c r="L7" s="19"/>
      <c r="M7" s="23" t="s">
        <v>161</v>
      </c>
    </row>
    <row r="8" customFormat="false" ht="48" hidden="false" customHeight="true" outlineLevel="0" collapsed="false">
      <c r="A8" s="16" t="s">
        <v>162</v>
      </c>
      <c r="B8" s="17" t="s">
        <v>149</v>
      </c>
      <c r="C8" s="10" t="s">
        <v>150</v>
      </c>
      <c r="D8" s="17" t="s">
        <v>122</v>
      </c>
      <c r="E8" s="18" t="s">
        <v>19</v>
      </c>
      <c r="F8" s="10" t="s">
        <v>163</v>
      </c>
      <c r="G8" s="9" t="s">
        <v>164</v>
      </c>
      <c r="H8" s="10" t="s">
        <v>165</v>
      </c>
      <c r="I8" s="10" t="s">
        <v>160</v>
      </c>
      <c r="J8" s="9"/>
      <c r="K8" s="16"/>
      <c r="L8" s="16"/>
      <c r="M8" s="9"/>
    </row>
    <row r="9" customFormat="false" ht="48" hidden="false" customHeight="true" outlineLevel="0" collapsed="false">
      <c r="A9" s="19" t="s">
        <v>166</v>
      </c>
      <c r="B9" s="20" t="s">
        <v>149</v>
      </c>
      <c r="C9" s="12" t="s">
        <v>150</v>
      </c>
      <c r="D9" s="20" t="s">
        <v>122</v>
      </c>
      <c r="E9" s="21" t="s">
        <v>21</v>
      </c>
      <c r="F9" s="12" t="s">
        <v>167</v>
      </c>
      <c r="G9" s="11" t="s">
        <v>168</v>
      </c>
      <c r="H9" s="12" t="s">
        <v>169</v>
      </c>
      <c r="I9" s="12" t="s">
        <v>160</v>
      </c>
      <c r="J9" s="11"/>
      <c r="K9" s="19"/>
      <c r="L9" s="19"/>
      <c r="M9" s="23" t="s">
        <v>170</v>
      </c>
    </row>
    <row r="10" customFormat="false" ht="75.75" hidden="false" customHeight="true" outlineLevel="0" collapsed="false">
      <c r="A10" s="16" t="s">
        <v>171</v>
      </c>
      <c r="B10" s="16" t="s">
        <v>172</v>
      </c>
      <c r="C10" s="10" t="s">
        <v>173</v>
      </c>
      <c r="D10" s="17" t="s">
        <v>122</v>
      </c>
      <c r="E10" s="18" t="s">
        <v>19</v>
      </c>
      <c r="F10" s="10" t="s">
        <v>174</v>
      </c>
      <c r="G10" s="9" t="s">
        <v>175</v>
      </c>
      <c r="H10" s="10" t="s">
        <v>176</v>
      </c>
      <c r="I10" s="10" t="s">
        <v>177</v>
      </c>
      <c r="J10" s="9"/>
      <c r="K10" s="16"/>
      <c r="L10" s="16"/>
      <c r="M10" s="10" t="s">
        <v>178</v>
      </c>
    </row>
    <row r="11" customFormat="false" ht="48" hidden="false" customHeight="true" outlineLevel="0" collapsed="false">
      <c r="A11" s="19" t="s">
        <v>179</v>
      </c>
      <c r="B11" s="19" t="s">
        <v>172</v>
      </c>
      <c r="C11" s="12" t="s">
        <v>173</v>
      </c>
      <c r="D11" s="20" t="s">
        <v>122</v>
      </c>
      <c r="E11" s="21" t="s">
        <v>21</v>
      </c>
      <c r="F11" s="11" t="s">
        <v>180</v>
      </c>
      <c r="G11" s="11" t="s">
        <v>181</v>
      </c>
      <c r="H11" s="11" t="s">
        <v>182</v>
      </c>
      <c r="I11" s="12" t="s">
        <v>183</v>
      </c>
      <c r="J11" s="11"/>
      <c r="K11" s="19"/>
      <c r="L11" s="19"/>
      <c r="M11" s="11"/>
    </row>
    <row r="12" customFormat="false" ht="48" hidden="false" customHeight="true" outlineLevel="0" collapsed="false">
      <c r="A12" s="16" t="s">
        <v>184</v>
      </c>
      <c r="B12" s="16" t="s">
        <v>172</v>
      </c>
      <c r="C12" s="10" t="s">
        <v>173</v>
      </c>
      <c r="D12" s="17" t="s">
        <v>122</v>
      </c>
      <c r="E12" s="18" t="s">
        <v>19</v>
      </c>
      <c r="F12" s="10" t="s">
        <v>185</v>
      </c>
      <c r="G12" s="9" t="s">
        <v>186</v>
      </c>
      <c r="H12" s="10" t="s">
        <v>187</v>
      </c>
      <c r="I12" s="10" t="s">
        <v>188</v>
      </c>
      <c r="J12" s="9"/>
      <c r="K12" s="16"/>
      <c r="L12" s="16"/>
      <c r="M12" s="22" t="s">
        <v>189</v>
      </c>
    </row>
    <row r="13" customFormat="false" ht="48" hidden="false" customHeight="true" outlineLevel="0" collapsed="false">
      <c r="A13" s="19" t="s">
        <v>190</v>
      </c>
      <c r="B13" s="20" t="s">
        <v>191</v>
      </c>
      <c r="C13" s="12" t="s">
        <v>192</v>
      </c>
      <c r="D13" s="20" t="s">
        <v>122</v>
      </c>
      <c r="E13" s="18" t="s">
        <v>19</v>
      </c>
      <c r="F13" s="12" t="s">
        <v>193</v>
      </c>
      <c r="G13" s="11" t="s">
        <v>194</v>
      </c>
      <c r="H13" s="12" t="s">
        <v>195</v>
      </c>
      <c r="I13" s="12" t="s">
        <v>196</v>
      </c>
      <c r="J13" s="11"/>
      <c r="K13" s="19"/>
      <c r="L13" s="19"/>
      <c r="M13" s="11" t="s">
        <v>197</v>
      </c>
    </row>
    <row r="14" customFormat="false" ht="48" hidden="false" customHeight="true" outlineLevel="0" collapsed="false">
      <c r="A14" s="16" t="s">
        <v>198</v>
      </c>
      <c r="B14" s="17" t="s">
        <v>191</v>
      </c>
      <c r="C14" s="10" t="s">
        <v>192</v>
      </c>
      <c r="D14" s="17" t="s">
        <v>122</v>
      </c>
      <c r="E14" s="18" t="s">
        <v>19</v>
      </c>
      <c r="F14" s="10" t="s">
        <v>199</v>
      </c>
      <c r="G14" s="9" t="s">
        <v>200</v>
      </c>
      <c r="H14" s="10" t="s">
        <v>201</v>
      </c>
      <c r="I14" s="10" t="s">
        <v>138</v>
      </c>
      <c r="J14" s="9"/>
      <c r="K14" s="16"/>
      <c r="L14" s="16"/>
      <c r="M14" s="24" t="s">
        <v>202</v>
      </c>
    </row>
    <row r="15" customFormat="false" ht="61.5" hidden="false" customHeight="true" outlineLevel="0" collapsed="false">
      <c r="A15" s="19" t="s">
        <v>203</v>
      </c>
      <c r="B15" s="20" t="s">
        <v>204</v>
      </c>
      <c r="C15" s="12" t="s">
        <v>205</v>
      </c>
      <c r="D15" s="20" t="s">
        <v>122</v>
      </c>
      <c r="E15" s="18" t="s">
        <v>19</v>
      </c>
      <c r="F15" s="12" t="s">
        <v>206</v>
      </c>
      <c r="G15" s="11" t="s">
        <v>207</v>
      </c>
      <c r="H15" s="12" t="s">
        <v>208</v>
      </c>
      <c r="I15" s="11" t="s">
        <v>209</v>
      </c>
      <c r="J15" s="11"/>
      <c r="K15" s="19"/>
      <c r="L15" s="19"/>
      <c r="M15" s="23" t="s">
        <v>210</v>
      </c>
    </row>
    <row r="16" customFormat="false" ht="48" hidden="false" customHeight="true" outlineLevel="0" collapsed="false">
      <c r="A16" s="16" t="s">
        <v>211</v>
      </c>
      <c r="B16" s="17" t="s">
        <v>212</v>
      </c>
      <c r="C16" s="10" t="s">
        <v>213</v>
      </c>
      <c r="D16" s="17" t="s">
        <v>122</v>
      </c>
      <c r="E16" s="18" t="s">
        <v>19</v>
      </c>
      <c r="F16" s="10" t="s">
        <v>214</v>
      </c>
      <c r="G16" s="9" t="s">
        <v>215</v>
      </c>
      <c r="H16" s="10" t="s">
        <v>216</v>
      </c>
      <c r="I16" s="10" t="s">
        <v>217</v>
      </c>
      <c r="J16" s="9"/>
      <c r="K16" s="16"/>
      <c r="L16" s="16"/>
      <c r="M16" s="10" t="s">
        <v>218</v>
      </c>
    </row>
    <row r="17" customFormat="false" ht="48" hidden="false" customHeight="true" outlineLevel="0" collapsed="false">
      <c r="A17" s="19" t="s">
        <v>219</v>
      </c>
      <c r="B17" s="20" t="s">
        <v>220</v>
      </c>
      <c r="C17" s="12" t="s">
        <v>221</v>
      </c>
      <c r="D17" s="20" t="s">
        <v>122</v>
      </c>
      <c r="E17" s="18" t="s">
        <v>19</v>
      </c>
      <c r="F17" s="12" t="s">
        <v>222</v>
      </c>
      <c r="G17" s="11" t="s">
        <v>223</v>
      </c>
      <c r="H17" s="12" t="s">
        <v>224</v>
      </c>
      <c r="I17" s="12" t="s">
        <v>225</v>
      </c>
      <c r="J17" s="11"/>
      <c r="K17" s="19"/>
      <c r="L17" s="19"/>
      <c r="M17" s="25" t="s">
        <v>226</v>
      </c>
    </row>
    <row r="18" customFormat="false" ht="61.5" hidden="false" customHeight="true" outlineLevel="0" collapsed="false">
      <c r="A18" s="16" t="s">
        <v>227</v>
      </c>
      <c r="B18" s="16" t="s">
        <v>172</v>
      </c>
      <c r="C18" s="10" t="s">
        <v>173</v>
      </c>
      <c r="D18" s="17" t="s">
        <v>122</v>
      </c>
      <c r="E18" s="21" t="s">
        <v>21</v>
      </c>
      <c r="F18" s="10" t="s">
        <v>228</v>
      </c>
      <c r="G18" s="9" t="s">
        <v>229</v>
      </c>
      <c r="H18" s="9" t="s">
        <v>230</v>
      </c>
      <c r="I18" s="10" t="s">
        <v>188</v>
      </c>
      <c r="J18" s="9"/>
      <c r="K18" s="16"/>
      <c r="L18" s="16"/>
      <c r="M18" s="26" t="s">
        <v>231</v>
      </c>
    </row>
    <row r="19" customFormat="false" ht="48" hidden="false" customHeight="true" outlineLevel="0" collapsed="false">
      <c r="A19" s="19" t="s">
        <v>232</v>
      </c>
      <c r="B19" s="20" t="s">
        <v>191</v>
      </c>
      <c r="C19" s="12" t="s">
        <v>192</v>
      </c>
      <c r="D19" s="20" t="s">
        <v>122</v>
      </c>
      <c r="E19" s="21" t="s">
        <v>21</v>
      </c>
      <c r="F19" s="12" t="s">
        <v>233</v>
      </c>
      <c r="G19" s="11" t="s">
        <v>234</v>
      </c>
      <c r="H19" s="12" t="s">
        <v>235</v>
      </c>
      <c r="I19" s="12" t="s">
        <v>138</v>
      </c>
      <c r="J19" s="11"/>
      <c r="K19" s="19"/>
      <c r="L19" s="19"/>
      <c r="M19" s="12" t="s">
        <v>133</v>
      </c>
    </row>
    <row r="20" customFormat="false" ht="48" hidden="false" customHeight="true" outlineLevel="0" collapsed="false">
      <c r="A20" s="16" t="s">
        <v>236</v>
      </c>
      <c r="B20" s="17" t="s">
        <v>191</v>
      </c>
      <c r="C20" s="10" t="s">
        <v>192</v>
      </c>
      <c r="D20" s="17" t="s">
        <v>237</v>
      </c>
      <c r="E20" s="27" t="s">
        <v>23</v>
      </c>
      <c r="F20" s="9" t="s">
        <v>238</v>
      </c>
      <c r="G20" s="9" t="s">
        <v>239</v>
      </c>
      <c r="H20" s="10" t="s">
        <v>240</v>
      </c>
      <c r="I20" s="9" t="s">
        <v>241</v>
      </c>
      <c r="J20" s="9"/>
      <c r="K20" s="16"/>
      <c r="L20" s="16"/>
      <c r="M20" s="26" t="s">
        <v>242</v>
      </c>
    </row>
  </sheetData>
  <autoFilter ref="A1:M20"/>
  <dataValidations count="1">
    <dataValidation allowBlank="true" errorStyle="stop" operator="between" showDropDown="false" showErrorMessage="false" showInputMessage="false" sqref="K2:K20" type="list">
      <formula1>"通过,失败,阻塞,未执行"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52"/>
    <col collapsed="false" customWidth="true" hidden="false" outlineLevel="0" max="8" min="8" style="0" width="44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26"/>
  </cols>
  <sheetData>
    <row r="1" customFormat="false" ht="30" hidden="false" customHeight="true" outlineLevel="0" collapsed="false">
      <c r="A1" s="8" t="s">
        <v>106</v>
      </c>
      <c r="B1" s="8" t="s">
        <v>107</v>
      </c>
      <c r="C1" s="8" t="s">
        <v>108</v>
      </c>
      <c r="D1" s="8" t="s">
        <v>109</v>
      </c>
      <c r="E1" s="8" t="s">
        <v>110</v>
      </c>
      <c r="F1" s="8" t="s">
        <v>111</v>
      </c>
      <c r="G1" s="8" t="s">
        <v>112</v>
      </c>
      <c r="H1" s="8" t="s">
        <v>113</v>
      </c>
      <c r="I1" s="8" t="s">
        <v>114</v>
      </c>
      <c r="J1" s="8" t="s">
        <v>115</v>
      </c>
      <c r="K1" s="8" t="s">
        <v>116</v>
      </c>
      <c r="L1" s="8" t="s">
        <v>117</v>
      </c>
      <c r="M1" s="8" t="s">
        <v>118</v>
      </c>
    </row>
    <row r="2" customFormat="false" ht="61.5" hidden="false" customHeight="true" outlineLevel="0" collapsed="false">
      <c r="A2" s="16" t="s">
        <v>243</v>
      </c>
      <c r="B2" s="17" t="s">
        <v>244</v>
      </c>
      <c r="C2" s="10" t="s">
        <v>245</v>
      </c>
      <c r="D2" s="17" t="s">
        <v>246</v>
      </c>
      <c r="E2" s="18" t="s">
        <v>19</v>
      </c>
      <c r="F2" s="10" t="s">
        <v>247</v>
      </c>
      <c r="G2" s="9" t="s">
        <v>248</v>
      </c>
      <c r="H2" s="10" t="s">
        <v>249</v>
      </c>
      <c r="I2" s="10" t="s">
        <v>250</v>
      </c>
      <c r="J2" s="9"/>
      <c r="K2" s="16"/>
      <c r="L2" s="16"/>
      <c r="M2" s="22" t="s">
        <v>251</v>
      </c>
    </row>
    <row r="3" customFormat="false" ht="48" hidden="false" customHeight="true" outlineLevel="0" collapsed="false">
      <c r="A3" s="19" t="s">
        <v>252</v>
      </c>
      <c r="B3" s="20" t="s">
        <v>244</v>
      </c>
      <c r="C3" s="12" t="s">
        <v>245</v>
      </c>
      <c r="D3" s="20" t="s">
        <v>253</v>
      </c>
      <c r="E3" s="18" t="s">
        <v>19</v>
      </c>
      <c r="F3" s="12" t="s">
        <v>254</v>
      </c>
      <c r="G3" s="11" t="s">
        <v>255</v>
      </c>
      <c r="H3" s="12" t="s">
        <v>256</v>
      </c>
      <c r="I3" s="12" t="s">
        <v>257</v>
      </c>
      <c r="J3" s="11"/>
      <c r="K3" s="19"/>
      <c r="L3" s="19"/>
      <c r="M3" s="11"/>
    </row>
    <row r="4" customFormat="false" ht="48" hidden="false" customHeight="true" outlineLevel="0" collapsed="false">
      <c r="A4" s="16" t="s">
        <v>258</v>
      </c>
      <c r="B4" s="17" t="s">
        <v>244</v>
      </c>
      <c r="C4" s="10" t="s">
        <v>245</v>
      </c>
      <c r="D4" s="17" t="s">
        <v>246</v>
      </c>
      <c r="E4" s="21" t="s">
        <v>21</v>
      </c>
      <c r="F4" s="10" t="s">
        <v>259</v>
      </c>
      <c r="G4" s="9" t="s">
        <v>260</v>
      </c>
      <c r="H4" s="10" t="s">
        <v>261</v>
      </c>
      <c r="I4" s="10" t="s">
        <v>262</v>
      </c>
      <c r="J4" s="9"/>
      <c r="K4" s="16"/>
      <c r="L4" s="16"/>
      <c r="M4" s="9"/>
    </row>
    <row r="5" customFormat="false" ht="48" hidden="false" customHeight="true" outlineLevel="0" collapsed="false">
      <c r="A5" s="19" t="s">
        <v>263</v>
      </c>
      <c r="B5" s="20" t="s">
        <v>244</v>
      </c>
      <c r="C5" s="12" t="s">
        <v>245</v>
      </c>
      <c r="D5" s="20" t="s">
        <v>253</v>
      </c>
      <c r="E5" s="27" t="s">
        <v>23</v>
      </c>
      <c r="F5" s="12" t="s">
        <v>264</v>
      </c>
      <c r="G5" s="11" t="s">
        <v>265</v>
      </c>
      <c r="H5" s="12" t="s">
        <v>266</v>
      </c>
      <c r="I5" s="12" t="s">
        <v>267</v>
      </c>
      <c r="J5" s="11"/>
      <c r="K5" s="19"/>
      <c r="L5" s="19"/>
      <c r="M5" s="23" t="s">
        <v>268</v>
      </c>
    </row>
    <row r="6" customFormat="false" ht="48" hidden="false" customHeight="true" outlineLevel="0" collapsed="false">
      <c r="A6" s="16" t="s">
        <v>269</v>
      </c>
      <c r="B6" s="17" t="s">
        <v>244</v>
      </c>
      <c r="C6" s="10" t="s">
        <v>245</v>
      </c>
      <c r="D6" s="17" t="s">
        <v>246</v>
      </c>
      <c r="E6" s="21" t="s">
        <v>21</v>
      </c>
      <c r="F6" s="10" t="s">
        <v>270</v>
      </c>
      <c r="G6" s="9" t="s">
        <v>271</v>
      </c>
      <c r="H6" s="10" t="s">
        <v>272</v>
      </c>
      <c r="I6" s="10" t="s">
        <v>273</v>
      </c>
      <c r="J6" s="9"/>
      <c r="K6" s="16"/>
      <c r="L6" s="16"/>
      <c r="M6" s="22" t="s">
        <v>274</v>
      </c>
    </row>
    <row r="7" customFormat="false" ht="48" hidden="false" customHeight="true" outlineLevel="0" collapsed="false">
      <c r="A7" s="19" t="s">
        <v>275</v>
      </c>
      <c r="B7" s="20" t="s">
        <v>244</v>
      </c>
      <c r="C7" s="12" t="s">
        <v>245</v>
      </c>
      <c r="D7" s="20" t="s">
        <v>253</v>
      </c>
      <c r="E7" s="27" t="s">
        <v>23</v>
      </c>
      <c r="F7" s="12" t="s">
        <v>276</v>
      </c>
      <c r="G7" s="11" t="s">
        <v>277</v>
      </c>
      <c r="H7" s="12" t="s">
        <v>278</v>
      </c>
      <c r="I7" s="12" t="s">
        <v>279</v>
      </c>
      <c r="J7" s="11"/>
      <c r="K7" s="19"/>
      <c r="L7" s="19"/>
      <c r="M7" s="12" t="s">
        <v>280</v>
      </c>
    </row>
    <row r="8" customFormat="false" ht="61.5" hidden="false" customHeight="true" outlineLevel="0" collapsed="false">
      <c r="A8" s="16" t="s">
        <v>281</v>
      </c>
      <c r="B8" s="17" t="s">
        <v>282</v>
      </c>
      <c r="C8" s="10" t="s">
        <v>283</v>
      </c>
      <c r="D8" s="17" t="s">
        <v>246</v>
      </c>
      <c r="E8" s="18" t="s">
        <v>19</v>
      </c>
      <c r="F8" s="10" t="s">
        <v>284</v>
      </c>
      <c r="G8" s="9" t="s">
        <v>285</v>
      </c>
      <c r="H8" s="10" t="s">
        <v>286</v>
      </c>
      <c r="I8" s="10" t="s">
        <v>287</v>
      </c>
      <c r="J8" s="9"/>
      <c r="K8" s="16"/>
      <c r="L8" s="16"/>
      <c r="M8" s="26" t="s">
        <v>288</v>
      </c>
    </row>
    <row r="9" customFormat="false" ht="48" hidden="false" customHeight="true" outlineLevel="0" collapsed="false">
      <c r="A9" s="19" t="s">
        <v>289</v>
      </c>
      <c r="B9" s="20" t="s">
        <v>282</v>
      </c>
      <c r="C9" s="12" t="s">
        <v>283</v>
      </c>
      <c r="D9" s="20" t="s">
        <v>246</v>
      </c>
      <c r="E9" s="18" t="s">
        <v>19</v>
      </c>
      <c r="F9" s="12" t="s">
        <v>290</v>
      </c>
      <c r="G9" s="11" t="s">
        <v>291</v>
      </c>
      <c r="H9" s="12" t="s">
        <v>292</v>
      </c>
      <c r="I9" s="12" t="s">
        <v>293</v>
      </c>
      <c r="J9" s="11"/>
      <c r="K9" s="19"/>
      <c r="L9" s="19"/>
      <c r="M9" s="12" t="s">
        <v>294</v>
      </c>
    </row>
    <row r="10" customFormat="false" ht="48" hidden="false" customHeight="true" outlineLevel="0" collapsed="false">
      <c r="A10" s="16" t="s">
        <v>295</v>
      </c>
      <c r="B10" s="17" t="s">
        <v>282</v>
      </c>
      <c r="C10" s="10" t="s">
        <v>283</v>
      </c>
      <c r="D10" s="17" t="s">
        <v>246</v>
      </c>
      <c r="E10" s="18" t="s">
        <v>19</v>
      </c>
      <c r="F10" s="10" t="s">
        <v>296</v>
      </c>
      <c r="G10" s="9" t="s">
        <v>297</v>
      </c>
      <c r="H10" s="10" t="s">
        <v>298</v>
      </c>
      <c r="I10" s="10" t="s">
        <v>293</v>
      </c>
      <c r="J10" s="9"/>
      <c r="K10" s="16"/>
      <c r="L10" s="16"/>
      <c r="M10" s="10" t="s">
        <v>294</v>
      </c>
    </row>
    <row r="11" customFormat="false" ht="61.5" hidden="false" customHeight="true" outlineLevel="0" collapsed="false">
      <c r="A11" s="19" t="s">
        <v>299</v>
      </c>
      <c r="B11" s="20" t="s">
        <v>282</v>
      </c>
      <c r="C11" s="12" t="s">
        <v>283</v>
      </c>
      <c r="D11" s="20" t="s">
        <v>237</v>
      </c>
      <c r="E11" s="21" t="s">
        <v>21</v>
      </c>
      <c r="F11" s="12" t="s">
        <v>300</v>
      </c>
      <c r="G11" s="11" t="s">
        <v>301</v>
      </c>
      <c r="H11" s="12" t="s">
        <v>302</v>
      </c>
      <c r="I11" s="12" t="s">
        <v>303</v>
      </c>
      <c r="J11" s="11"/>
      <c r="K11" s="19"/>
      <c r="L11" s="19"/>
      <c r="M11" s="11"/>
    </row>
    <row r="12" customFormat="false" ht="48" hidden="false" customHeight="true" outlineLevel="0" collapsed="false">
      <c r="A12" s="16" t="s">
        <v>304</v>
      </c>
      <c r="B12" s="17" t="s">
        <v>282</v>
      </c>
      <c r="C12" s="10" t="s">
        <v>283</v>
      </c>
      <c r="D12" s="17" t="s">
        <v>237</v>
      </c>
      <c r="E12" s="21" t="s">
        <v>21</v>
      </c>
      <c r="F12" s="10" t="s">
        <v>305</v>
      </c>
      <c r="G12" s="9" t="s">
        <v>306</v>
      </c>
      <c r="H12" s="10" t="s">
        <v>307</v>
      </c>
      <c r="I12" s="10" t="s">
        <v>303</v>
      </c>
      <c r="J12" s="9"/>
      <c r="K12" s="16"/>
      <c r="L12" s="16"/>
      <c r="M12" s="22" t="s">
        <v>308</v>
      </c>
    </row>
    <row r="13" customFormat="false" ht="48" hidden="false" customHeight="true" outlineLevel="0" collapsed="false">
      <c r="A13" s="19" t="s">
        <v>309</v>
      </c>
      <c r="B13" s="20" t="s">
        <v>282</v>
      </c>
      <c r="C13" s="12" t="s">
        <v>283</v>
      </c>
      <c r="D13" s="20" t="s">
        <v>237</v>
      </c>
      <c r="E13" s="21" t="s">
        <v>21</v>
      </c>
      <c r="F13" s="12" t="s">
        <v>310</v>
      </c>
      <c r="G13" s="11" t="s">
        <v>311</v>
      </c>
      <c r="H13" s="12" t="s">
        <v>312</v>
      </c>
      <c r="I13" s="12" t="s">
        <v>303</v>
      </c>
      <c r="J13" s="11"/>
      <c r="K13" s="19"/>
      <c r="L13" s="19"/>
      <c r="M13" s="23" t="s">
        <v>313</v>
      </c>
    </row>
    <row r="14" customFormat="false" ht="48" hidden="false" customHeight="true" outlineLevel="0" collapsed="false">
      <c r="A14" s="16" t="s">
        <v>314</v>
      </c>
      <c r="B14" s="17" t="s">
        <v>282</v>
      </c>
      <c r="C14" s="10" t="s">
        <v>283</v>
      </c>
      <c r="D14" s="17" t="s">
        <v>237</v>
      </c>
      <c r="E14" s="21" t="s">
        <v>21</v>
      </c>
      <c r="F14" s="10" t="s">
        <v>315</v>
      </c>
      <c r="G14" s="9" t="s">
        <v>316</v>
      </c>
      <c r="H14" s="10" t="s">
        <v>317</v>
      </c>
      <c r="I14" s="10" t="s">
        <v>318</v>
      </c>
      <c r="J14" s="9"/>
      <c r="K14" s="16"/>
      <c r="L14" s="16"/>
      <c r="M14" s="9"/>
    </row>
    <row r="15" customFormat="false" ht="48" hidden="false" customHeight="true" outlineLevel="0" collapsed="false">
      <c r="A15" s="19" t="s">
        <v>319</v>
      </c>
      <c r="B15" s="20" t="s">
        <v>282</v>
      </c>
      <c r="C15" s="12" t="s">
        <v>283</v>
      </c>
      <c r="D15" s="20" t="s">
        <v>237</v>
      </c>
      <c r="E15" s="27" t="s">
        <v>23</v>
      </c>
      <c r="F15" s="12" t="s">
        <v>320</v>
      </c>
      <c r="G15" s="11" t="s">
        <v>321</v>
      </c>
      <c r="H15" s="12" t="s">
        <v>322</v>
      </c>
      <c r="I15" s="12" t="s">
        <v>138</v>
      </c>
      <c r="J15" s="11"/>
      <c r="K15" s="19"/>
      <c r="L15" s="19"/>
      <c r="M15" s="11"/>
    </row>
    <row r="16" customFormat="false" ht="48" hidden="false" customHeight="true" outlineLevel="0" collapsed="false">
      <c r="A16" s="16" t="s">
        <v>323</v>
      </c>
      <c r="B16" s="17" t="s">
        <v>282</v>
      </c>
      <c r="C16" s="10" t="s">
        <v>283</v>
      </c>
      <c r="D16" s="17" t="s">
        <v>237</v>
      </c>
      <c r="E16" s="27" t="s">
        <v>23</v>
      </c>
      <c r="F16" s="10" t="s">
        <v>324</v>
      </c>
      <c r="G16" s="9" t="s">
        <v>325</v>
      </c>
      <c r="H16" s="10" t="s">
        <v>326</v>
      </c>
      <c r="I16" s="10" t="s">
        <v>303</v>
      </c>
      <c r="J16" s="9"/>
      <c r="K16" s="16"/>
      <c r="L16" s="16"/>
      <c r="M16" s="22" t="s">
        <v>327</v>
      </c>
    </row>
    <row r="17" customFormat="false" ht="48" hidden="false" customHeight="true" outlineLevel="0" collapsed="false">
      <c r="A17" s="19" t="s">
        <v>328</v>
      </c>
      <c r="B17" s="20" t="s">
        <v>149</v>
      </c>
      <c r="C17" s="12" t="s">
        <v>329</v>
      </c>
      <c r="D17" s="20" t="s">
        <v>246</v>
      </c>
      <c r="E17" s="18" t="s">
        <v>19</v>
      </c>
      <c r="F17" s="12" t="s">
        <v>330</v>
      </c>
      <c r="G17" s="11" t="s">
        <v>331</v>
      </c>
      <c r="H17" s="12" t="s">
        <v>332</v>
      </c>
      <c r="I17" s="12" t="s">
        <v>303</v>
      </c>
      <c r="J17" s="11"/>
      <c r="K17" s="19"/>
      <c r="L17" s="19"/>
      <c r="M17" s="11"/>
    </row>
    <row r="18" customFormat="false" ht="61.5" hidden="false" customHeight="true" outlineLevel="0" collapsed="false">
      <c r="A18" s="16" t="s">
        <v>333</v>
      </c>
      <c r="B18" s="17" t="s">
        <v>149</v>
      </c>
      <c r="C18" s="10" t="s">
        <v>329</v>
      </c>
      <c r="D18" s="17" t="s">
        <v>246</v>
      </c>
      <c r="E18" s="18" t="s">
        <v>19</v>
      </c>
      <c r="F18" s="10" t="s">
        <v>334</v>
      </c>
      <c r="G18" s="9" t="s">
        <v>335</v>
      </c>
      <c r="H18" s="10" t="s">
        <v>336</v>
      </c>
      <c r="I18" s="10" t="s">
        <v>303</v>
      </c>
      <c r="J18" s="9"/>
      <c r="K18" s="16"/>
      <c r="L18" s="16"/>
      <c r="M18" s="22" t="s">
        <v>337</v>
      </c>
    </row>
    <row r="19" customFormat="false" ht="48" hidden="false" customHeight="true" outlineLevel="0" collapsed="false">
      <c r="A19" s="19" t="s">
        <v>338</v>
      </c>
      <c r="B19" s="20" t="s">
        <v>149</v>
      </c>
      <c r="C19" s="12" t="s">
        <v>329</v>
      </c>
      <c r="D19" s="20" t="s">
        <v>246</v>
      </c>
      <c r="E19" s="18" t="s">
        <v>19</v>
      </c>
      <c r="F19" s="12" t="s">
        <v>339</v>
      </c>
      <c r="G19" s="11" t="s">
        <v>340</v>
      </c>
      <c r="H19" s="12" t="s">
        <v>341</v>
      </c>
      <c r="I19" s="12" t="s">
        <v>303</v>
      </c>
      <c r="J19" s="11"/>
      <c r="K19" s="19"/>
      <c r="L19" s="19"/>
      <c r="M19" s="11"/>
    </row>
    <row r="20" customFormat="false" ht="48" hidden="false" customHeight="true" outlineLevel="0" collapsed="false">
      <c r="A20" s="16" t="s">
        <v>342</v>
      </c>
      <c r="B20" s="17" t="s">
        <v>149</v>
      </c>
      <c r="C20" s="10" t="s">
        <v>329</v>
      </c>
      <c r="D20" s="17" t="s">
        <v>246</v>
      </c>
      <c r="E20" s="21" t="s">
        <v>21</v>
      </c>
      <c r="F20" s="10" t="s">
        <v>343</v>
      </c>
      <c r="G20" s="9" t="s">
        <v>344</v>
      </c>
      <c r="H20" s="10" t="s">
        <v>341</v>
      </c>
      <c r="I20" s="10" t="s">
        <v>303</v>
      </c>
      <c r="J20" s="9"/>
      <c r="K20" s="16"/>
      <c r="L20" s="16"/>
      <c r="M20" s="9"/>
    </row>
    <row r="21" customFormat="false" ht="61.5" hidden="false" customHeight="true" outlineLevel="0" collapsed="false">
      <c r="A21" s="19" t="s">
        <v>345</v>
      </c>
      <c r="B21" s="20" t="s">
        <v>149</v>
      </c>
      <c r="C21" s="12" t="s">
        <v>329</v>
      </c>
      <c r="D21" s="20" t="s">
        <v>253</v>
      </c>
      <c r="E21" s="21" t="s">
        <v>21</v>
      </c>
      <c r="F21" s="12" t="s">
        <v>346</v>
      </c>
      <c r="G21" s="11" t="s">
        <v>347</v>
      </c>
      <c r="H21" s="12" t="s">
        <v>348</v>
      </c>
      <c r="I21" s="12" t="s">
        <v>303</v>
      </c>
      <c r="J21" s="11"/>
      <c r="K21" s="19"/>
      <c r="L21" s="19"/>
      <c r="M21" s="23" t="s">
        <v>349</v>
      </c>
    </row>
    <row r="22" customFormat="false" ht="48" hidden="false" customHeight="true" outlineLevel="0" collapsed="false">
      <c r="A22" s="16" t="s">
        <v>350</v>
      </c>
      <c r="B22" s="17" t="s">
        <v>149</v>
      </c>
      <c r="C22" s="10" t="s">
        <v>329</v>
      </c>
      <c r="D22" s="17" t="s">
        <v>253</v>
      </c>
      <c r="E22" s="21" t="s">
        <v>21</v>
      </c>
      <c r="F22" s="10" t="s">
        <v>351</v>
      </c>
      <c r="G22" s="9" t="s">
        <v>352</v>
      </c>
      <c r="H22" s="10" t="s">
        <v>353</v>
      </c>
      <c r="I22" s="10" t="s">
        <v>303</v>
      </c>
      <c r="J22" s="9"/>
      <c r="K22" s="16"/>
      <c r="L22" s="16"/>
      <c r="M22" s="28" t="s">
        <v>354</v>
      </c>
    </row>
    <row r="23" customFormat="false" ht="61.5" hidden="false" customHeight="true" outlineLevel="0" collapsed="false">
      <c r="A23" s="19" t="s">
        <v>355</v>
      </c>
      <c r="B23" s="20" t="s">
        <v>149</v>
      </c>
      <c r="C23" s="12" t="s">
        <v>329</v>
      </c>
      <c r="D23" s="20" t="s">
        <v>253</v>
      </c>
      <c r="E23" s="21" t="s">
        <v>21</v>
      </c>
      <c r="F23" s="11" t="s">
        <v>356</v>
      </c>
      <c r="G23" s="11" t="s">
        <v>357</v>
      </c>
      <c r="H23" s="12" t="s">
        <v>358</v>
      </c>
      <c r="I23" s="12" t="s">
        <v>303</v>
      </c>
      <c r="J23" s="11"/>
      <c r="K23" s="19"/>
      <c r="L23" s="19"/>
      <c r="M23" s="11"/>
    </row>
    <row r="24" customFormat="false" ht="48" hidden="false" customHeight="true" outlineLevel="0" collapsed="false">
      <c r="A24" s="16" t="s">
        <v>359</v>
      </c>
      <c r="B24" s="17" t="s">
        <v>149</v>
      </c>
      <c r="C24" s="10" t="s">
        <v>329</v>
      </c>
      <c r="D24" s="17" t="s">
        <v>253</v>
      </c>
      <c r="E24" s="21" t="s">
        <v>21</v>
      </c>
      <c r="F24" s="9" t="s">
        <v>360</v>
      </c>
      <c r="G24" s="9" t="s">
        <v>357</v>
      </c>
      <c r="H24" s="10" t="s">
        <v>361</v>
      </c>
      <c r="I24" s="10" t="s">
        <v>303</v>
      </c>
      <c r="J24" s="9"/>
      <c r="K24" s="16"/>
      <c r="L24" s="16"/>
      <c r="M24" s="9"/>
    </row>
    <row r="25" customFormat="false" ht="61.5" hidden="false" customHeight="true" outlineLevel="0" collapsed="false">
      <c r="A25" s="19" t="s">
        <v>362</v>
      </c>
      <c r="B25" s="20" t="s">
        <v>149</v>
      </c>
      <c r="C25" s="12" t="s">
        <v>329</v>
      </c>
      <c r="D25" s="20" t="s">
        <v>237</v>
      </c>
      <c r="E25" s="21" t="s">
        <v>21</v>
      </c>
      <c r="F25" s="12" t="s">
        <v>363</v>
      </c>
      <c r="G25" s="11" t="s">
        <v>364</v>
      </c>
      <c r="H25" s="12" t="s">
        <v>365</v>
      </c>
      <c r="I25" s="12" t="s">
        <v>366</v>
      </c>
      <c r="J25" s="11"/>
      <c r="K25" s="19"/>
      <c r="L25" s="19"/>
      <c r="M25" s="12" t="s">
        <v>367</v>
      </c>
    </row>
    <row r="26" customFormat="false" ht="48" hidden="false" customHeight="true" outlineLevel="0" collapsed="false">
      <c r="A26" s="16" t="s">
        <v>368</v>
      </c>
      <c r="B26" s="17" t="s">
        <v>149</v>
      </c>
      <c r="C26" s="10" t="s">
        <v>329</v>
      </c>
      <c r="D26" s="17" t="s">
        <v>246</v>
      </c>
      <c r="E26" s="21" t="s">
        <v>21</v>
      </c>
      <c r="F26" s="10" t="s">
        <v>369</v>
      </c>
      <c r="G26" s="9" t="s">
        <v>370</v>
      </c>
      <c r="H26" s="10" t="s">
        <v>371</v>
      </c>
      <c r="I26" s="10" t="s">
        <v>303</v>
      </c>
      <c r="J26" s="9"/>
      <c r="K26" s="16"/>
      <c r="L26" s="16"/>
      <c r="M26" s="9"/>
    </row>
    <row r="27" customFormat="false" ht="61.5" hidden="false" customHeight="true" outlineLevel="0" collapsed="false">
      <c r="A27" s="19" t="s">
        <v>372</v>
      </c>
      <c r="B27" s="20" t="s">
        <v>149</v>
      </c>
      <c r="C27" s="12" t="s">
        <v>329</v>
      </c>
      <c r="D27" s="20" t="s">
        <v>237</v>
      </c>
      <c r="E27" s="27" t="s">
        <v>23</v>
      </c>
      <c r="F27" s="12" t="s">
        <v>373</v>
      </c>
      <c r="G27" s="11" t="s">
        <v>374</v>
      </c>
      <c r="H27" s="12" t="s">
        <v>375</v>
      </c>
      <c r="I27" s="12" t="s">
        <v>376</v>
      </c>
      <c r="J27" s="11"/>
      <c r="K27" s="19"/>
      <c r="L27" s="19"/>
      <c r="M27" s="23" t="s">
        <v>377</v>
      </c>
    </row>
    <row r="28" customFormat="false" ht="48" hidden="false" customHeight="true" outlineLevel="0" collapsed="false">
      <c r="A28" s="16" t="s">
        <v>378</v>
      </c>
      <c r="B28" s="17" t="s">
        <v>379</v>
      </c>
      <c r="C28" s="10" t="s">
        <v>380</v>
      </c>
      <c r="D28" s="17" t="s">
        <v>246</v>
      </c>
      <c r="E28" s="18" t="s">
        <v>19</v>
      </c>
      <c r="F28" s="10" t="s">
        <v>381</v>
      </c>
      <c r="G28" s="9" t="s">
        <v>382</v>
      </c>
      <c r="H28" s="10" t="s">
        <v>383</v>
      </c>
      <c r="I28" s="10" t="s">
        <v>384</v>
      </c>
      <c r="J28" s="9"/>
      <c r="K28" s="16"/>
      <c r="L28" s="16"/>
      <c r="M28" s="26" t="s">
        <v>385</v>
      </c>
    </row>
    <row r="29" customFormat="false" ht="48" hidden="false" customHeight="true" outlineLevel="0" collapsed="false">
      <c r="A29" s="19" t="s">
        <v>386</v>
      </c>
      <c r="B29" s="20" t="s">
        <v>379</v>
      </c>
      <c r="C29" s="12" t="s">
        <v>380</v>
      </c>
      <c r="D29" s="20" t="s">
        <v>246</v>
      </c>
      <c r="E29" s="18" t="s">
        <v>19</v>
      </c>
      <c r="F29" s="12" t="s">
        <v>387</v>
      </c>
      <c r="G29" s="11" t="s">
        <v>388</v>
      </c>
      <c r="H29" s="12" t="s">
        <v>389</v>
      </c>
      <c r="I29" s="12" t="s">
        <v>390</v>
      </c>
      <c r="J29" s="11"/>
      <c r="K29" s="19"/>
      <c r="L29" s="19"/>
      <c r="M29" s="26" t="s">
        <v>391</v>
      </c>
    </row>
    <row r="30" customFormat="false" ht="48" hidden="false" customHeight="true" outlineLevel="0" collapsed="false">
      <c r="A30" s="16" t="s">
        <v>392</v>
      </c>
      <c r="B30" s="17" t="s">
        <v>379</v>
      </c>
      <c r="C30" s="10" t="s">
        <v>380</v>
      </c>
      <c r="D30" s="17" t="s">
        <v>246</v>
      </c>
      <c r="E30" s="18" t="s">
        <v>19</v>
      </c>
      <c r="F30" s="10" t="s">
        <v>393</v>
      </c>
      <c r="G30" s="9" t="s">
        <v>394</v>
      </c>
      <c r="H30" s="10" t="s">
        <v>389</v>
      </c>
      <c r="I30" s="10" t="s">
        <v>390</v>
      </c>
      <c r="J30" s="9"/>
      <c r="K30" s="16"/>
      <c r="L30" s="16"/>
      <c r="M30" s="26" t="s">
        <v>391</v>
      </c>
    </row>
    <row r="31" customFormat="false" ht="48" hidden="false" customHeight="true" outlineLevel="0" collapsed="false">
      <c r="A31" s="19" t="s">
        <v>395</v>
      </c>
      <c r="B31" s="20" t="s">
        <v>379</v>
      </c>
      <c r="C31" s="12" t="s">
        <v>380</v>
      </c>
      <c r="D31" s="20" t="s">
        <v>253</v>
      </c>
      <c r="E31" s="21" t="s">
        <v>21</v>
      </c>
      <c r="F31" s="12" t="s">
        <v>396</v>
      </c>
      <c r="G31" s="11" t="s">
        <v>397</v>
      </c>
      <c r="H31" s="12" t="s">
        <v>398</v>
      </c>
      <c r="I31" s="12" t="s">
        <v>399</v>
      </c>
      <c r="J31" s="11"/>
      <c r="K31" s="19"/>
      <c r="L31" s="19"/>
      <c r="M31" s="11"/>
    </row>
    <row r="32" customFormat="false" ht="48" hidden="false" customHeight="true" outlineLevel="0" collapsed="false">
      <c r="A32" s="16" t="s">
        <v>400</v>
      </c>
      <c r="B32" s="17" t="s">
        <v>379</v>
      </c>
      <c r="C32" s="10" t="s">
        <v>380</v>
      </c>
      <c r="D32" s="17" t="s">
        <v>253</v>
      </c>
      <c r="E32" s="27" t="s">
        <v>23</v>
      </c>
      <c r="F32" s="10" t="s">
        <v>401</v>
      </c>
      <c r="G32" s="9" t="s">
        <v>402</v>
      </c>
      <c r="H32" s="10" t="s">
        <v>403</v>
      </c>
      <c r="I32" s="10" t="s">
        <v>404</v>
      </c>
      <c r="J32" s="9"/>
      <c r="K32" s="16"/>
      <c r="L32" s="16"/>
      <c r="M32" s="22" t="s">
        <v>405</v>
      </c>
    </row>
    <row r="33" customFormat="false" ht="48" hidden="false" customHeight="true" outlineLevel="0" collapsed="false">
      <c r="A33" s="19" t="s">
        <v>406</v>
      </c>
      <c r="B33" s="20" t="s">
        <v>379</v>
      </c>
      <c r="C33" s="12" t="s">
        <v>380</v>
      </c>
      <c r="D33" s="20" t="s">
        <v>246</v>
      </c>
      <c r="E33" s="21" t="s">
        <v>21</v>
      </c>
      <c r="F33" s="12" t="s">
        <v>407</v>
      </c>
      <c r="G33" s="11" t="s">
        <v>408</v>
      </c>
      <c r="H33" s="12" t="s">
        <v>409</v>
      </c>
      <c r="I33" s="12" t="s">
        <v>303</v>
      </c>
      <c r="J33" s="11"/>
      <c r="K33" s="19"/>
      <c r="L33" s="19"/>
      <c r="M33" s="23" t="s">
        <v>410</v>
      </c>
    </row>
    <row r="34" customFormat="false" ht="48" hidden="false" customHeight="true" outlineLevel="0" collapsed="false">
      <c r="A34" s="16" t="s">
        <v>411</v>
      </c>
      <c r="B34" s="17" t="s">
        <v>379</v>
      </c>
      <c r="C34" s="10" t="s">
        <v>380</v>
      </c>
      <c r="D34" s="17" t="s">
        <v>246</v>
      </c>
      <c r="E34" s="27" t="s">
        <v>23</v>
      </c>
      <c r="F34" s="10" t="s">
        <v>412</v>
      </c>
      <c r="G34" s="9" t="s">
        <v>413</v>
      </c>
      <c r="H34" s="10" t="s">
        <v>414</v>
      </c>
      <c r="I34" s="10" t="s">
        <v>415</v>
      </c>
      <c r="J34" s="9"/>
      <c r="K34" s="16"/>
      <c r="L34" s="16"/>
      <c r="M34" s="9"/>
    </row>
    <row r="35" customFormat="false" ht="48" hidden="false" customHeight="true" outlineLevel="0" collapsed="false">
      <c r="A35" s="19" t="s">
        <v>416</v>
      </c>
      <c r="B35" s="20" t="s">
        <v>417</v>
      </c>
      <c r="C35" s="12" t="s">
        <v>418</v>
      </c>
      <c r="D35" s="20" t="s">
        <v>246</v>
      </c>
      <c r="E35" s="18" t="s">
        <v>19</v>
      </c>
      <c r="F35" s="12" t="s">
        <v>419</v>
      </c>
      <c r="G35" s="11" t="s">
        <v>420</v>
      </c>
      <c r="H35" s="12" t="s">
        <v>421</v>
      </c>
      <c r="I35" s="12" t="s">
        <v>422</v>
      </c>
      <c r="J35" s="11"/>
      <c r="K35" s="19"/>
      <c r="L35" s="19"/>
      <c r="M35" s="23" t="s">
        <v>423</v>
      </c>
    </row>
    <row r="36" customFormat="false" ht="48" hidden="false" customHeight="true" outlineLevel="0" collapsed="false">
      <c r="A36" s="16" t="s">
        <v>424</v>
      </c>
      <c r="B36" s="17" t="s">
        <v>417</v>
      </c>
      <c r="C36" s="10" t="s">
        <v>418</v>
      </c>
      <c r="D36" s="17" t="s">
        <v>246</v>
      </c>
      <c r="E36" s="18" t="s">
        <v>19</v>
      </c>
      <c r="F36" s="10" t="s">
        <v>425</v>
      </c>
      <c r="G36" s="9" t="s">
        <v>426</v>
      </c>
      <c r="H36" s="10" t="s">
        <v>427</v>
      </c>
      <c r="I36" s="10" t="s">
        <v>428</v>
      </c>
      <c r="J36" s="9"/>
      <c r="K36" s="16"/>
      <c r="L36" s="16"/>
      <c r="M36" s="22" t="s">
        <v>429</v>
      </c>
    </row>
    <row r="37" customFormat="false" ht="48" hidden="false" customHeight="true" outlineLevel="0" collapsed="false">
      <c r="A37" s="19" t="s">
        <v>430</v>
      </c>
      <c r="B37" s="20" t="s">
        <v>417</v>
      </c>
      <c r="C37" s="12" t="s">
        <v>418</v>
      </c>
      <c r="D37" s="20" t="s">
        <v>246</v>
      </c>
      <c r="E37" s="21" t="s">
        <v>21</v>
      </c>
      <c r="F37" s="12" t="s">
        <v>431</v>
      </c>
      <c r="G37" s="11" t="s">
        <v>432</v>
      </c>
      <c r="H37" s="12" t="s">
        <v>433</v>
      </c>
      <c r="I37" s="12" t="s">
        <v>434</v>
      </c>
      <c r="J37" s="11"/>
      <c r="K37" s="19"/>
      <c r="L37" s="19"/>
      <c r="M37" s="11"/>
    </row>
    <row r="38" customFormat="false" ht="48" hidden="false" customHeight="true" outlineLevel="0" collapsed="false">
      <c r="A38" s="16" t="s">
        <v>435</v>
      </c>
      <c r="B38" s="17" t="s">
        <v>417</v>
      </c>
      <c r="C38" s="10" t="s">
        <v>418</v>
      </c>
      <c r="D38" s="17" t="s">
        <v>246</v>
      </c>
      <c r="E38" s="21" t="s">
        <v>21</v>
      </c>
      <c r="F38" s="10" t="s">
        <v>436</v>
      </c>
      <c r="G38" s="9" t="s">
        <v>437</v>
      </c>
      <c r="H38" s="10" t="s">
        <v>438</v>
      </c>
      <c r="I38" s="10" t="s">
        <v>434</v>
      </c>
      <c r="J38" s="9"/>
      <c r="K38" s="16"/>
      <c r="L38" s="16"/>
      <c r="M38" s="9"/>
    </row>
    <row r="39" customFormat="false" ht="48" hidden="false" customHeight="true" outlineLevel="0" collapsed="false">
      <c r="A39" s="19" t="s">
        <v>439</v>
      </c>
      <c r="B39" s="20" t="s">
        <v>417</v>
      </c>
      <c r="C39" s="12" t="s">
        <v>418</v>
      </c>
      <c r="D39" s="20" t="s">
        <v>246</v>
      </c>
      <c r="E39" s="21" t="s">
        <v>21</v>
      </c>
      <c r="F39" s="12" t="s">
        <v>440</v>
      </c>
      <c r="G39" s="11" t="s">
        <v>441</v>
      </c>
      <c r="H39" s="12" t="s">
        <v>442</v>
      </c>
      <c r="I39" s="12" t="s">
        <v>434</v>
      </c>
      <c r="J39" s="11"/>
      <c r="K39" s="19"/>
      <c r="L39" s="19"/>
      <c r="M39" s="11"/>
    </row>
    <row r="40" customFormat="false" ht="48" hidden="false" customHeight="true" outlineLevel="0" collapsed="false">
      <c r="A40" s="16" t="s">
        <v>443</v>
      </c>
      <c r="B40" s="17" t="s">
        <v>417</v>
      </c>
      <c r="C40" s="10" t="s">
        <v>418</v>
      </c>
      <c r="D40" s="17" t="s">
        <v>237</v>
      </c>
      <c r="E40" s="27" t="s">
        <v>23</v>
      </c>
      <c r="F40" s="10" t="s">
        <v>444</v>
      </c>
      <c r="G40" s="9" t="s">
        <v>445</v>
      </c>
      <c r="H40" s="10" t="s">
        <v>446</v>
      </c>
      <c r="I40" s="10" t="s">
        <v>447</v>
      </c>
      <c r="J40" s="9"/>
      <c r="K40" s="16"/>
      <c r="L40" s="16"/>
      <c r="M40" s="9"/>
    </row>
    <row r="41" customFormat="false" ht="48" hidden="false" customHeight="true" outlineLevel="0" collapsed="false">
      <c r="A41" s="19" t="s">
        <v>448</v>
      </c>
      <c r="B41" s="20" t="s">
        <v>282</v>
      </c>
      <c r="C41" s="12" t="s">
        <v>449</v>
      </c>
      <c r="D41" s="20" t="s">
        <v>246</v>
      </c>
      <c r="E41" s="18" t="s">
        <v>19</v>
      </c>
      <c r="F41" s="12" t="s">
        <v>450</v>
      </c>
      <c r="G41" s="11" t="s">
        <v>451</v>
      </c>
      <c r="H41" s="12" t="s">
        <v>452</v>
      </c>
      <c r="I41" s="12" t="s">
        <v>453</v>
      </c>
      <c r="J41" s="11"/>
      <c r="K41" s="19"/>
      <c r="L41" s="19"/>
      <c r="M41" s="25" t="s">
        <v>454</v>
      </c>
    </row>
    <row r="42" customFormat="false" ht="48" hidden="false" customHeight="true" outlineLevel="0" collapsed="false">
      <c r="A42" s="16" t="s">
        <v>455</v>
      </c>
      <c r="B42" s="17" t="s">
        <v>282</v>
      </c>
      <c r="C42" s="10" t="s">
        <v>449</v>
      </c>
      <c r="D42" s="17" t="s">
        <v>237</v>
      </c>
      <c r="E42" s="21" t="s">
        <v>21</v>
      </c>
      <c r="F42" s="10" t="s">
        <v>456</v>
      </c>
      <c r="G42" s="9" t="s">
        <v>457</v>
      </c>
      <c r="H42" s="10" t="s">
        <v>458</v>
      </c>
      <c r="I42" s="10" t="s">
        <v>459</v>
      </c>
      <c r="J42" s="9"/>
      <c r="K42" s="16"/>
      <c r="L42" s="16"/>
      <c r="M42" s="9"/>
    </row>
    <row r="43" customFormat="false" ht="48" hidden="false" customHeight="true" outlineLevel="0" collapsed="false">
      <c r="A43" s="19" t="s">
        <v>460</v>
      </c>
      <c r="B43" s="20" t="s">
        <v>282</v>
      </c>
      <c r="C43" s="12" t="s">
        <v>449</v>
      </c>
      <c r="D43" s="20" t="s">
        <v>237</v>
      </c>
      <c r="E43" s="21" t="s">
        <v>21</v>
      </c>
      <c r="F43" s="12" t="s">
        <v>461</v>
      </c>
      <c r="G43" s="11" t="s">
        <v>462</v>
      </c>
      <c r="H43" s="12" t="s">
        <v>463</v>
      </c>
      <c r="I43" s="12" t="s">
        <v>459</v>
      </c>
      <c r="J43" s="11"/>
      <c r="K43" s="19"/>
      <c r="L43" s="19"/>
      <c r="M43" s="11"/>
    </row>
    <row r="44" customFormat="false" ht="48" hidden="false" customHeight="true" outlineLevel="0" collapsed="false">
      <c r="A44" s="16" t="s">
        <v>464</v>
      </c>
      <c r="B44" s="17" t="s">
        <v>282</v>
      </c>
      <c r="C44" s="10" t="s">
        <v>449</v>
      </c>
      <c r="D44" s="17" t="s">
        <v>237</v>
      </c>
      <c r="E44" s="27" t="s">
        <v>23</v>
      </c>
      <c r="F44" s="10" t="s">
        <v>465</v>
      </c>
      <c r="G44" s="9" t="s">
        <v>466</v>
      </c>
      <c r="H44" s="10" t="s">
        <v>467</v>
      </c>
      <c r="I44" s="10" t="s">
        <v>138</v>
      </c>
      <c r="J44" s="9"/>
      <c r="K44" s="16"/>
      <c r="L44" s="16"/>
      <c r="M44" s="22" t="s">
        <v>468</v>
      </c>
    </row>
    <row r="45" customFormat="false" ht="48" hidden="false" customHeight="true" outlineLevel="0" collapsed="false">
      <c r="A45" s="19" t="s">
        <v>469</v>
      </c>
      <c r="B45" s="20" t="s">
        <v>282</v>
      </c>
      <c r="C45" s="12" t="s">
        <v>470</v>
      </c>
      <c r="D45" s="20" t="s">
        <v>246</v>
      </c>
      <c r="E45" s="18" t="s">
        <v>19</v>
      </c>
      <c r="F45" s="11" t="s">
        <v>471</v>
      </c>
      <c r="G45" s="11" t="s">
        <v>472</v>
      </c>
      <c r="H45" s="12" t="s">
        <v>473</v>
      </c>
      <c r="I45" s="12" t="s">
        <v>474</v>
      </c>
      <c r="J45" s="11"/>
      <c r="K45" s="19"/>
      <c r="L45" s="19"/>
      <c r="M45" s="23" t="s">
        <v>475</v>
      </c>
    </row>
    <row r="46" customFormat="false" ht="48" hidden="false" customHeight="true" outlineLevel="0" collapsed="false">
      <c r="A46" s="16" t="s">
        <v>476</v>
      </c>
      <c r="B46" s="17" t="s">
        <v>282</v>
      </c>
      <c r="C46" s="10" t="s">
        <v>470</v>
      </c>
      <c r="D46" s="17" t="s">
        <v>246</v>
      </c>
      <c r="E46" s="21" t="s">
        <v>21</v>
      </c>
      <c r="F46" s="10" t="s">
        <v>477</v>
      </c>
      <c r="G46" s="9" t="s">
        <v>478</v>
      </c>
      <c r="H46" s="10" t="s">
        <v>479</v>
      </c>
      <c r="I46" s="10" t="s">
        <v>480</v>
      </c>
      <c r="J46" s="9"/>
      <c r="K46" s="16"/>
      <c r="L46" s="16"/>
      <c r="M46" s="9"/>
    </row>
    <row r="47" customFormat="false" ht="48" hidden="false" customHeight="true" outlineLevel="0" collapsed="false">
      <c r="A47" s="19" t="s">
        <v>481</v>
      </c>
      <c r="B47" s="20" t="s">
        <v>282</v>
      </c>
      <c r="C47" s="12" t="s">
        <v>470</v>
      </c>
      <c r="D47" s="20" t="s">
        <v>253</v>
      </c>
      <c r="E47" s="27" t="s">
        <v>23</v>
      </c>
      <c r="F47" s="12" t="s">
        <v>482</v>
      </c>
      <c r="G47" s="11" t="s">
        <v>483</v>
      </c>
      <c r="H47" s="12" t="s">
        <v>484</v>
      </c>
      <c r="I47" s="12" t="s">
        <v>480</v>
      </c>
      <c r="J47" s="11"/>
      <c r="K47" s="19"/>
      <c r="L47" s="19"/>
      <c r="M47" s="11"/>
    </row>
    <row r="48" customFormat="false" ht="48" hidden="false" customHeight="true" outlineLevel="0" collapsed="false">
      <c r="A48" s="16" t="s">
        <v>485</v>
      </c>
      <c r="B48" s="17" t="s">
        <v>486</v>
      </c>
      <c r="C48" s="10" t="s">
        <v>487</v>
      </c>
      <c r="D48" s="17" t="s">
        <v>246</v>
      </c>
      <c r="E48" s="18" t="s">
        <v>19</v>
      </c>
      <c r="F48" s="10" t="s">
        <v>488</v>
      </c>
      <c r="G48" s="9" t="s">
        <v>489</v>
      </c>
      <c r="H48" s="10" t="s">
        <v>490</v>
      </c>
      <c r="I48" s="10" t="s">
        <v>491</v>
      </c>
      <c r="J48" s="9"/>
      <c r="K48" s="16"/>
      <c r="L48" s="16"/>
      <c r="M48" s="22" t="s">
        <v>492</v>
      </c>
    </row>
    <row r="49" customFormat="false" ht="48" hidden="false" customHeight="true" outlineLevel="0" collapsed="false">
      <c r="A49" s="19" t="s">
        <v>493</v>
      </c>
      <c r="B49" s="20" t="s">
        <v>486</v>
      </c>
      <c r="C49" s="12" t="s">
        <v>487</v>
      </c>
      <c r="D49" s="20" t="s">
        <v>246</v>
      </c>
      <c r="E49" s="18" t="s">
        <v>19</v>
      </c>
      <c r="F49" s="12" t="s">
        <v>494</v>
      </c>
      <c r="G49" s="11" t="s">
        <v>495</v>
      </c>
      <c r="H49" s="12" t="s">
        <v>496</v>
      </c>
      <c r="I49" s="12" t="s">
        <v>497</v>
      </c>
      <c r="J49" s="11"/>
      <c r="K49" s="19"/>
      <c r="L49" s="19"/>
      <c r="M49" s="11"/>
    </row>
    <row r="50" customFormat="false" ht="48" hidden="false" customHeight="true" outlineLevel="0" collapsed="false">
      <c r="A50" s="16" t="s">
        <v>498</v>
      </c>
      <c r="B50" s="17" t="s">
        <v>486</v>
      </c>
      <c r="C50" s="10" t="s">
        <v>487</v>
      </c>
      <c r="D50" s="17" t="s">
        <v>237</v>
      </c>
      <c r="E50" s="21" t="s">
        <v>21</v>
      </c>
      <c r="F50" s="10" t="s">
        <v>499</v>
      </c>
      <c r="G50" s="9" t="s">
        <v>500</v>
      </c>
      <c r="H50" s="10" t="s">
        <v>501</v>
      </c>
      <c r="I50" s="10" t="s">
        <v>502</v>
      </c>
      <c r="J50" s="9"/>
      <c r="K50" s="16"/>
      <c r="L50" s="16"/>
      <c r="M50" s="22" t="s">
        <v>503</v>
      </c>
    </row>
    <row r="51" customFormat="false" ht="48" hidden="false" customHeight="true" outlineLevel="0" collapsed="false">
      <c r="A51" s="19" t="s">
        <v>504</v>
      </c>
      <c r="B51" s="20" t="s">
        <v>486</v>
      </c>
      <c r="C51" s="12" t="s">
        <v>487</v>
      </c>
      <c r="D51" s="20" t="s">
        <v>237</v>
      </c>
      <c r="E51" s="21" t="s">
        <v>21</v>
      </c>
      <c r="F51" s="12" t="s">
        <v>505</v>
      </c>
      <c r="G51" s="11" t="s">
        <v>506</v>
      </c>
      <c r="H51" s="12" t="s">
        <v>507</v>
      </c>
      <c r="I51" s="12" t="s">
        <v>293</v>
      </c>
      <c r="J51" s="11"/>
      <c r="K51" s="19"/>
      <c r="L51" s="19"/>
      <c r="M51" s="24" t="s">
        <v>508</v>
      </c>
    </row>
  </sheetData>
  <autoFilter ref="A1:M51"/>
  <dataValidations count="1">
    <dataValidation allowBlank="true" errorStyle="stop" operator="between" showDropDown="false" showErrorMessage="false" showInputMessage="false" sqref="K2:K51" type="list">
      <formula1>"通过,失败,阻塞,未执行"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46"/>
    <col collapsed="false" customWidth="true" hidden="false" outlineLevel="0" max="7" min="7" style="0" width="24"/>
    <col collapsed="false" customWidth="true" hidden="false" outlineLevel="0" max="9" min="8" style="0" width="12"/>
  </cols>
  <sheetData>
    <row r="1" customFormat="false" ht="27.75" hidden="false" customHeight="true" outlineLevel="0" collapsed="false">
      <c r="A1" s="8" t="s">
        <v>117</v>
      </c>
      <c r="B1" s="8" t="s">
        <v>509</v>
      </c>
      <c r="C1" s="8" t="s">
        <v>510</v>
      </c>
      <c r="D1" s="8" t="s">
        <v>511</v>
      </c>
      <c r="E1" s="8" t="s">
        <v>512</v>
      </c>
      <c r="F1" s="8" t="s">
        <v>513</v>
      </c>
      <c r="G1" s="8" t="s">
        <v>514</v>
      </c>
      <c r="H1" s="8" t="s">
        <v>515</v>
      </c>
      <c r="I1" s="8" t="s">
        <v>516</v>
      </c>
    </row>
    <row r="2" customFormat="false" ht="25.5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</row>
    <row r="3" customFormat="false" ht="25.5" hidden="false" customHeight="true" outlineLevel="0" collapsed="false">
      <c r="A3" s="11"/>
      <c r="B3" s="11"/>
      <c r="C3" s="11"/>
      <c r="D3" s="11"/>
      <c r="E3" s="11"/>
      <c r="F3" s="11"/>
      <c r="G3" s="11"/>
      <c r="H3" s="11"/>
      <c r="I3" s="11"/>
    </row>
    <row r="4" customFormat="false" ht="25.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</row>
    <row r="5" customFormat="false" ht="25.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</row>
    <row r="6" customFormat="false" ht="25.5" hidden="false" customHeight="true" outlineLevel="0" collapsed="false">
      <c r="A6" s="9"/>
      <c r="B6" s="9"/>
      <c r="C6" s="9"/>
      <c r="D6" s="9"/>
      <c r="E6" s="9"/>
      <c r="F6" s="9"/>
      <c r="G6" s="9"/>
      <c r="H6" s="9"/>
      <c r="I6" s="9"/>
    </row>
    <row r="7" customFormat="false" ht="25.5" hidden="false" customHeight="true" outlineLevel="0" collapsed="false">
      <c r="A7" s="11"/>
      <c r="B7" s="11"/>
      <c r="C7" s="11"/>
      <c r="D7" s="11"/>
      <c r="E7" s="11"/>
      <c r="F7" s="11"/>
      <c r="G7" s="11"/>
      <c r="H7" s="11"/>
      <c r="I7" s="11"/>
    </row>
    <row r="8" customFormat="false" ht="25.5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</row>
    <row r="9" customFormat="false" ht="25.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</row>
    <row r="10" customFormat="false" ht="25.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</row>
    <row r="11" customFormat="false" ht="25.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</row>
    <row r="12" customFormat="false" ht="25.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</row>
    <row r="13" customFormat="false" ht="25.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</row>
    <row r="14" customFormat="false" ht="25.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</row>
    <row r="15" customFormat="false" ht="25.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</row>
    <row r="16" customFormat="false" ht="25.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</row>
    <row r="17" customFormat="false" ht="25.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</row>
    <row r="18" customFormat="false" ht="25.5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</row>
    <row r="19" customFormat="false" ht="25.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</row>
    <row r="20" customFormat="false" ht="25.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</row>
    <row r="21" customFormat="false" ht="25.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</row>
    <row r="22" customFormat="false" ht="25.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</row>
    <row r="23" customFormat="false" ht="25.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</row>
    <row r="24" customFormat="false" ht="25.5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9"/>
    </row>
    <row r="25" customFormat="false" ht="25.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</row>
    <row r="26" customFormat="false" ht="25.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</row>
    <row r="27" customFormat="false" ht="25.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</row>
    <row r="28" customFormat="false" ht="25.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</row>
    <row r="29" customFormat="false" ht="25.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</row>
    <row r="30" customFormat="false" ht="25.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</row>
    <row r="31" customFormat="false" ht="25.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</row>
  </sheetData>
  <autoFilter ref="A1:I31"/>
  <dataValidations count="2">
    <dataValidation allowBlank="true" errorStyle="stop" operator="between" showDropDown="false" showErrorMessage="false" showInputMessage="false" sqref="D2:D31" type="list">
      <formula1>"致命,严重,一般,轻微"</formula1>
      <formula2>0</formula2>
    </dataValidation>
    <dataValidation allowBlank="true" errorStyle="stop" operator="between" showDropDown="false" showErrorMessage="false" showInputMessage="false" sqref="H2:H31" type="list">
      <formula1>"待确认,修复中,待验证,已关闭,不予修复"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2026-10-28T07:29:12Z</dcterms:created>
  <dc:creator>openpyxl</dc:creator>
  <dc:description/>
  <dc:language>en-US</dc:language>
  <cp:lastModifiedBy/>
  <dcterms:modified xsi:type="dcterms:W3CDTF">2026-10-28T07:29:12Z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